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ocuments\GRC_Portfolio_RiskRegister_Project\"/>
    </mc:Choice>
  </mc:AlternateContent>
  <xr:revisionPtr revIDLastSave="0" documentId="13_ncr:1_{2E60485C-6A87-41DB-BE69-D042012263D8}" xr6:coauthVersionLast="47" xr6:coauthVersionMax="47" xr10:uidLastSave="{00000000-0000-0000-0000-000000000000}"/>
  <workbookProtection workbookAlgorithmName="SHA-512" workbookHashValue="VA3tGAWI6k9khNZrK5JcRdeAXEb9PwRbUH+BALaPRU0mvlMcHDk6hn+Gw1OlEOFUSMVTdNEh8H7AaFzdlVqTdw==" workbookSaltValue="cBDBlW6itjeGsSiBdbGqDg==" workbookSpinCount="100000" lockStructure="1"/>
  <bookViews>
    <workbookView xWindow="-108" yWindow="-108" windowWidth="23256" windowHeight="12456" xr2:uid="{9D708914-AF02-41BE-B7CD-D94387FD3310}"/>
  </bookViews>
  <sheets>
    <sheet name="Risk Register" sheetId="1" r:id="rId1"/>
    <sheet name="Legend &amp; Methodolog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2" l="1"/>
  <c r="N10" i="1"/>
  <c r="N9" i="1"/>
  <c r="N8" i="1"/>
  <c r="N7" i="1"/>
  <c r="N6" i="1"/>
  <c r="N5" i="1"/>
  <c r="N4" i="1"/>
  <c r="N3" i="1"/>
  <c r="N2" i="1"/>
  <c r="L11" i="1"/>
  <c r="M11" i="1" s="1"/>
  <c r="N11" i="1" s="1"/>
  <c r="L10" i="1"/>
  <c r="M10" i="1" s="1"/>
  <c r="L9" i="1"/>
  <c r="M9" i="1" s="1"/>
  <c r="L8" i="1"/>
  <c r="M8" i="1" s="1"/>
  <c r="L7" i="1"/>
  <c r="M7" i="1" s="1"/>
  <c r="L6" i="1"/>
  <c r="M6" i="1" s="1"/>
  <c r="L5" i="1"/>
  <c r="M5" i="1" s="1"/>
  <c r="L4" i="1"/>
  <c r="M4" i="1" s="1"/>
  <c r="L3" i="1"/>
  <c r="M3" i="1" s="1"/>
  <c r="L2" i="1"/>
  <c r="M2" i="1" s="1"/>
  <c r="Q2" i="1" s="1"/>
  <c r="E11" i="1"/>
  <c r="F11" i="1" s="1"/>
  <c r="E10" i="1"/>
  <c r="F10" i="1" s="1"/>
  <c r="E9" i="1"/>
  <c r="E8" i="1"/>
  <c r="E7" i="1"/>
  <c r="F7" i="1" s="1"/>
  <c r="E6" i="1"/>
  <c r="F6" i="1" s="1"/>
  <c r="E5" i="1"/>
  <c r="F5" i="1" s="1"/>
  <c r="E4" i="1"/>
  <c r="F4" i="1" s="1"/>
  <c r="E3" i="1"/>
  <c r="F3" i="1" s="1"/>
  <c r="F9" i="1"/>
  <c r="F8" i="1"/>
  <c r="E2" i="1"/>
  <c r="F2" i="1" s="1"/>
  <c r="A31" i="2"/>
  <c r="A30" i="2"/>
  <c r="F5" i="2"/>
  <c r="F4" i="2"/>
  <c r="F3" i="2"/>
  <c r="Q4" i="1" l="1"/>
  <c r="S4" i="1" s="1"/>
  <c r="O4" i="1"/>
  <c r="Q3" i="1"/>
  <c r="S3" i="1" s="1"/>
  <c r="O3" i="1"/>
  <c r="S2" i="1"/>
  <c r="O2" i="1"/>
  <c r="O11" i="1"/>
  <c r="Q11" i="1"/>
  <c r="S11" i="1" s="1"/>
  <c r="O10" i="1"/>
  <c r="Q10" i="1"/>
  <c r="S10" i="1" s="1"/>
  <c r="O9" i="1"/>
  <c r="Q9" i="1"/>
  <c r="S9" i="1" s="1"/>
  <c r="O8" i="1"/>
  <c r="Q8" i="1"/>
  <c r="S8" i="1" s="1"/>
  <c r="Q7" i="1"/>
  <c r="S7" i="1" s="1"/>
  <c r="O7" i="1"/>
  <c r="O6" i="1"/>
  <c r="Q6" i="1"/>
  <c r="S6" i="1" s="1"/>
  <c r="T6" i="1" s="1"/>
  <c r="O5" i="1"/>
  <c r="Q5" i="1"/>
  <c r="S5" i="1" s="1"/>
  <c r="H11" i="1"/>
  <c r="G11" i="1"/>
  <c r="G10" i="1"/>
  <c r="H10" i="1"/>
  <c r="G9" i="1"/>
  <c r="H9" i="1"/>
  <c r="G8" i="1"/>
  <c r="H8" i="1"/>
  <c r="G7" i="1"/>
  <c r="H7" i="1"/>
  <c r="G6" i="1"/>
  <c r="H6" i="1"/>
  <c r="G5" i="1"/>
  <c r="H5" i="1"/>
  <c r="G4" i="1"/>
  <c r="H4" i="1"/>
  <c r="G3" i="1"/>
  <c r="H3" i="1"/>
  <c r="H2" i="1"/>
  <c r="G2" i="1"/>
  <c r="U4" i="1" l="1"/>
  <c r="T4" i="1"/>
  <c r="U3" i="1"/>
  <c r="T3" i="1"/>
  <c r="U10" i="1"/>
  <c r="T10" i="1"/>
  <c r="U9" i="1"/>
  <c r="T9" i="1"/>
  <c r="U8" i="1"/>
  <c r="T8" i="1"/>
  <c r="U7" i="1"/>
  <c r="T7" i="1"/>
  <c r="U5" i="1"/>
  <c r="T5" i="1"/>
  <c r="U11" i="1"/>
  <c r="T11" i="1"/>
  <c r="T2" i="1"/>
  <c r="U2" i="1"/>
</calcChain>
</file>

<file path=xl/sharedStrings.xml><?xml version="1.0" encoding="utf-8"?>
<sst xmlns="http://schemas.openxmlformats.org/spreadsheetml/2006/main" count="198" uniqueCount="149">
  <si>
    <t>Risk ID</t>
  </si>
  <si>
    <t>Description</t>
  </si>
  <si>
    <t>Likelihood</t>
  </si>
  <si>
    <t>Impact</t>
  </si>
  <si>
    <t>Mitigation</t>
  </si>
  <si>
    <t>Owner</t>
  </si>
  <si>
    <t>Residual Risk</t>
  </si>
  <si>
    <t>Review Date</t>
  </si>
  <si>
    <t>Related Control(s)</t>
  </si>
  <si>
    <t>R-001</t>
  </si>
  <si>
    <t>R-002</t>
  </si>
  <si>
    <t>R-003</t>
  </si>
  <si>
    <t>R-004</t>
  </si>
  <si>
    <t>R-005</t>
  </si>
  <si>
    <t>R-006</t>
  </si>
  <si>
    <t>R-007</t>
  </si>
  <si>
    <t>R-008</t>
  </si>
  <si>
    <t>R-009</t>
  </si>
  <si>
    <t>R-010</t>
  </si>
  <si>
    <t>Data breach due to unauthorized access</t>
  </si>
  <si>
    <t>Misconfigured S3 bucket exposing ML datasets</t>
  </si>
  <si>
    <t>Credential reuse across SaaS tools</t>
  </si>
  <si>
    <t>Phishing attack targeting employees</t>
  </si>
  <si>
    <t>Insider threat from unvetted hires</t>
  </si>
  <si>
    <t>Endpoint malware infection</t>
  </si>
  <si>
    <t>Loss of PII due to improper deletion</t>
  </si>
  <si>
    <t>Network compromise due to lack of segmentation</t>
  </si>
  <si>
    <t>SaaS vendor outage impacting operations</t>
  </si>
  <si>
    <t>Unauthorized access to source code</t>
  </si>
  <si>
    <t>Medium</t>
  </si>
  <si>
    <t>Low</t>
  </si>
  <si>
    <t>Risk Score (Inherent)</t>
  </si>
  <si>
    <t>Residual Risk Score</t>
  </si>
  <si>
    <t>Risk Appetite Threshold</t>
  </si>
  <si>
    <t>Residual Risk vs Appetite</t>
  </si>
  <si>
    <t>Escalation Required</t>
  </si>
  <si>
    <t>Escalation Owner</t>
  </si>
  <si>
    <t>Escalation Status</t>
  </si>
  <si>
    <t>Risk Rating (Text)</t>
  </si>
  <si>
    <t>Risk Rating (Numeric)</t>
  </si>
  <si>
    <t>Residual Risk Rating (Numeric)</t>
  </si>
  <si>
    <t>Residual Risk Rating (Text)</t>
  </si>
  <si>
    <t>Implement MFA, enforce least privilege</t>
  </si>
  <si>
    <t>IT Manager</t>
  </si>
  <si>
    <t>A.5.15, A.5.16</t>
  </si>
  <si>
    <t>Apply configuration baselines, enable encryption</t>
  </si>
  <si>
    <t>Cloud Architect</t>
  </si>
  <si>
    <t>A.5.23, A.8.9</t>
  </si>
  <si>
    <t>Enforce password policy, enable SSO</t>
  </si>
  <si>
    <t>Security awareness training, email filtering</t>
  </si>
  <si>
    <t>Security Officer</t>
  </si>
  <si>
    <t>Background checks, NDAs</t>
  </si>
  <si>
    <t>HR Manager</t>
  </si>
  <si>
    <t>A.5.16</t>
  </si>
  <si>
    <t>A.6.3</t>
  </si>
  <si>
    <t>A.6.1, A.6.6</t>
  </si>
  <si>
    <t>Deploy EDR, patch laptops</t>
  </si>
  <si>
    <t>Implement secure deletion process</t>
  </si>
  <si>
    <t>AI Officer</t>
  </si>
  <si>
    <t>Implement network segmentation</t>
  </si>
  <si>
    <t>CTO</t>
  </si>
  <si>
    <t>Vendor SLA review, backup strategy</t>
  </si>
  <si>
    <t>Operations Lead</t>
  </si>
  <si>
    <t>Restrict access, audit permissions</t>
  </si>
  <si>
    <t>A.8.1</t>
  </si>
  <si>
    <t>A.8.10</t>
  </si>
  <si>
    <t>A.8.22</t>
  </si>
  <si>
    <t>A.8.4</t>
  </si>
  <si>
    <t>A.8.9</t>
  </si>
  <si>
    <t>Risk Rating (Icon)</t>
  </si>
  <si>
    <t>Residual Risk Rating (Icon)</t>
  </si>
  <si>
    <t>Rating</t>
  </si>
  <si>
    <t>Score Range</t>
  </si>
  <si>
    <t>Meaning</t>
  </si>
  <si>
    <t>Required Action</t>
  </si>
  <si>
    <t>High</t>
  </si>
  <si>
    <t>&gt; 15</t>
  </si>
  <si>
    <t>Exceeds risk appetite</t>
  </si>
  <si>
    <t>Immediate mitigation &amp; escalation</t>
  </si>
  <si>
    <t>8–15</t>
  </si>
  <si>
    <t>Track, remediate, monitor</t>
  </si>
  <si>
    <t>&lt; 8</t>
  </si>
  <si>
    <t>Acceptable risk</t>
  </si>
  <si>
    <t>Accept or annual review</t>
  </si>
  <si>
    <t>RISK SCORE HEAT MAP</t>
  </si>
  <si>
    <t>Impact ↓ / Likelihood →</t>
  </si>
  <si>
    <t>RISK APPETITE &amp; ESCALATION LOGIC</t>
  </si>
  <si>
    <t>Condition</t>
  </si>
  <si>
    <t>Action</t>
  </si>
  <si>
    <t>Residual &gt; Appetite</t>
  </si>
  <si>
    <t>Exceeds Appetite</t>
  </si>
  <si>
    <t>Yes</t>
  </si>
  <si>
    <t>Assign owner &amp; track to closure</t>
  </si>
  <si>
    <t>Residual ≤ Appetite</t>
  </si>
  <si>
    <t>Within Appetite</t>
  </si>
  <si>
    <t>No</t>
  </si>
  <si>
    <t>Monitor via periodic review</t>
  </si>
  <si>
    <t>RISK RATING TRAFFIC LIGHTS</t>
  </si>
  <si>
    <t>Icon</t>
  </si>
  <si>
    <t>Notes</t>
  </si>
  <si>
    <t>High Risk</t>
  </si>
  <si>
    <t>Immediate action required</t>
  </si>
  <si>
    <t>Medium Risk</t>
  </si>
  <si>
    <t>Monitor &amp; remediate</t>
  </si>
  <si>
    <t>Low Risk</t>
  </si>
  <si>
    <t>Acceptable</t>
  </si>
  <si>
    <t>RISK RATING LEGEND</t>
  </si>
  <si>
    <r>
      <rPr>
        <b/>
        <i/>
        <sz val="10"/>
        <color theme="1"/>
        <rFont val="Calibri"/>
        <family val="2"/>
      </rPr>
      <t>Note:</t>
    </r>
    <r>
      <rPr>
        <i/>
        <sz val="10"/>
        <color theme="1"/>
        <rFont val="Calibri"/>
        <family val="2"/>
      </rPr>
      <t xml:space="preserve"> Risks with residual scores above appetite must be escalated regardless of mitigation status.</t>
    </r>
  </si>
  <si>
    <r>
      <rPr>
        <b/>
        <i/>
        <sz val="10"/>
        <color theme="1"/>
        <rFont val="Calibri"/>
        <family val="2"/>
      </rPr>
      <t>Note:</t>
    </r>
    <r>
      <rPr>
        <i/>
        <sz val="10"/>
        <color theme="1"/>
        <rFont val="Calibri"/>
        <family val="2"/>
      </rPr>
      <t xml:space="preserve"> Color and icons are supplemental visual aids; numeric values and text labels are the authoritative risk indicators.</t>
    </r>
  </si>
  <si>
    <t>Within tolerance with controls</t>
  </si>
  <si>
    <t>Last Reviewed</t>
  </si>
  <si>
    <t>Risk Acceptance Authority</t>
  </si>
  <si>
    <t>CEO</t>
  </si>
  <si>
    <t xml:space="preserve">Risk Status </t>
  </si>
  <si>
    <t>Open</t>
  </si>
  <si>
    <t>Score</t>
  </si>
  <si>
    <t>Definition</t>
  </si>
  <si>
    <t>Example</t>
  </si>
  <si>
    <t>Rare</t>
  </si>
  <si>
    <t>Has not occurred; highly unlikely</t>
  </si>
  <si>
    <t>Unlikely</t>
  </si>
  <si>
    <t>Occurs infrequently</t>
  </si>
  <si>
    <t>Possible</t>
  </si>
  <si>
    <t>Has occurred previously</t>
  </si>
  <si>
    <t>Likely</t>
  </si>
  <si>
    <t>Occurs regularly</t>
  </si>
  <si>
    <t>Almost Certain</t>
  </si>
  <si>
    <t>Expected to occur</t>
  </si>
  <si>
    <t>LIKELIHOOD SCALE</t>
  </si>
  <si>
    <t>IMPACT SCALE</t>
  </si>
  <si>
    <t>Negligible</t>
  </si>
  <si>
    <t>Minimal operational impact</t>
  </si>
  <si>
    <t>Minor</t>
  </si>
  <si>
    <t>Limited disruption</t>
  </si>
  <si>
    <t>Moderate</t>
  </si>
  <si>
    <t>Noticeable service or data impact</t>
  </si>
  <si>
    <t>Major</t>
  </si>
  <si>
    <t>Regulatory, financial, or reputational harm</t>
  </si>
  <si>
    <t>Severe</t>
  </si>
  <si>
    <t>Legal penalties or significant data loss</t>
  </si>
  <si>
    <t>Escalation Path</t>
  </si>
  <si>
    <t>Risk Owner → Compliance → Leadership</t>
  </si>
  <si>
    <t>Risk Owner</t>
  </si>
  <si>
    <t>Status</t>
  </si>
  <si>
    <t>Escalation Mandatory</t>
  </si>
  <si>
    <t>Controls partially effective</t>
  </si>
  <si>
    <t>Periodic review only</t>
  </si>
  <si>
    <t>Icon Text</t>
  </si>
  <si>
    <r>
      <rPr>
        <b/>
        <sz val="14"/>
        <color theme="1"/>
        <rFont val="Calibri"/>
        <family val="2"/>
      </rPr>
      <t>METHODOLOGY SUMMARY:</t>
    </r>
    <r>
      <rPr>
        <b/>
        <sz val="11"/>
        <color theme="1"/>
        <rFont val="Calibri"/>
        <family val="2"/>
      </rPr>
      <t xml:space="preserve"> 
</t>
    </r>
    <r>
      <rPr>
        <sz val="11"/>
        <color theme="1"/>
        <rFont val="Calibri"/>
        <family val="2"/>
      </rPr>
      <t>Risk scores are calculated using Likelihood × Impact based on standardized scoring definitions.
Residual risk reflects post-mitigation exposure. Risks exceeding appetite require escalation and ownership assignment.
Risk Rating, Traffic Light indicators, and icons are fully harmonized and represent the same score bands. Numeric scores and text labels are the authoritative indicators.
Color and icon usage is supplemental and designed to enhance readability. All color combinations meet WCAG 2.1 AA contrast requirements.
This workbook is intentionally protected to preserve scoring logic, methodology, and formatting for portfolio demonstration purposes.
This structure aligns with ISO 27001 and ISO 27005 risk management principles.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</si>
</sst>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Calibri"/>
      <family val="2"/>
    </font>
    <font>
      <sz val="8"/>
      <name val="Aptos Narrow"/>
      <family val="2"/>
      <scheme val="minor"/>
    </font>
    <font>
      <sz val="11"/>
      <color theme="1"/>
      <name val="Calibri"/>
      <family val="2"/>
    </font>
    <font>
      <sz val="10"/>
      <color theme="1"/>
      <name val="Arial Unicode MS"/>
    </font>
    <font>
      <b/>
      <sz val="11"/>
      <color theme="0"/>
      <name val="Calibri"/>
      <family val="2"/>
    </font>
    <font>
      <b/>
      <sz val="11"/>
      <name val="Calibri"/>
      <family val="2"/>
    </font>
    <font>
      <sz val="10"/>
      <color theme="1"/>
      <name val="Calibri"/>
      <family val="2"/>
    </font>
    <font>
      <i/>
      <sz val="10"/>
      <color theme="1"/>
      <name val="Calibri"/>
      <family val="2"/>
    </font>
    <font>
      <b/>
      <i/>
      <sz val="10"/>
      <color theme="1"/>
      <name val="Calibri"/>
      <family val="2"/>
    </font>
    <font>
      <sz val="11"/>
      <name val="Calibri"/>
      <family val="2"/>
    </font>
    <font>
      <b/>
      <sz val="14"/>
      <color theme="1"/>
      <name val="Calibri"/>
      <family val="2"/>
    </font>
    <font>
      <sz val="14"/>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right/>
      <top/>
      <bottom style="thin">
        <color indexed="64"/>
      </bottom>
      <diagonal/>
    </border>
    <border>
      <left/>
      <right style="thin">
        <color indexed="64"/>
      </right>
      <top/>
      <bottom/>
      <diagonal/>
    </border>
  </borders>
  <cellStyleXfs count="1">
    <xf numFmtId="0" fontId="0" fillId="0" borderId="0"/>
  </cellStyleXfs>
  <cellXfs count="48">
    <xf numFmtId="0" fontId="0" fillId="0" borderId="0" xfId="0"/>
    <xf numFmtId="0" fontId="3" fillId="0" borderId="0" xfId="0" applyFont="1"/>
    <xf numFmtId="0" fontId="4" fillId="0" borderId="0" xfId="0" applyFont="1" applyAlignment="1">
      <alignment vertical="center"/>
    </xf>
    <xf numFmtId="0" fontId="1"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wrapText="1"/>
    </xf>
    <xf numFmtId="0" fontId="0" fillId="0" borderId="0" xfId="0" applyAlignment="1">
      <alignment wrapText="1"/>
    </xf>
    <xf numFmtId="0" fontId="3" fillId="0" borderId="0" xfId="0" applyFont="1" applyAlignment="1">
      <alignment wrapText="1"/>
    </xf>
    <xf numFmtId="0" fontId="3" fillId="0" borderId="0" xfId="0" applyFont="1" applyAlignment="1">
      <alignment horizontal="center"/>
    </xf>
    <xf numFmtId="0" fontId="1"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8" fillId="0" borderId="0" xfId="0" applyFont="1"/>
    <xf numFmtId="0" fontId="9" fillId="0" borderId="0" xfId="0" applyFont="1"/>
    <xf numFmtId="0" fontId="6" fillId="2" borderId="0" xfId="0" applyFont="1" applyFill="1" applyAlignment="1" applyProtection="1">
      <alignment horizontal="center" wrapText="1"/>
      <protection locked="0"/>
    </xf>
    <xf numFmtId="0" fontId="3" fillId="0" borderId="0" xfId="0" applyFont="1" applyAlignment="1" applyProtection="1">
      <alignment wrapText="1"/>
      <protection locked="0"/>
    </xf>
    <xf numFmtId="0" fontId="6" fillId="2" borderId="0" xfId="0" applyFont="1" applyFill="1" applyAlignment="1">
      <alignment horizontal="center" wrapText="1"/>
    </xf>
    <xf numFmtId="0" fontId="3" fillId="0" borderId="0" xfId="0" applyFont="1" applyAlignment="1" applyProtection="1">
      <alignment horizontal="center" wrapText="1"/>
      <protection locked="0"/>
    </xf>
    <xf numFmtId="0" fontId="1" fillId="0" borderId="0" xfId="0" applyFont="1" applyAlignment="1">
      <alignment horizontal="center" wrapText="1"/>
    </xf>
    <xf numFmtId="0" fontId="7" fillId="0" borderId="0" xfId="0" applyFont="1" applyAlignment="1">
      <alignment horizontal="center" vertical="center" wrapText="1"/>
    </xf>
    <xf numFmtId="0" fontId="7" fillId="0" borderId="0" xfId="0" applyFont="1" applyAlignment="1">
      <alignment vertical="center" wrapText="1"/>
    </xf>
    <xf numFmtId="0" fontId="5" fillId="0" borderId="0" xfId="0" applyFont="1" applyAlignment="1">
      <alignment wrapText="1"/>
    </xf>
    <xf numFmtId="14" fontId="3" fillId="0" borderId="0" xfId="0" applyNumberFormat="1" applyFont="1" applyAlignment="1" applyProtection="1">
      <alignment horizontal="center" wrapText="1"/>
      <protection locked="0"/>
    </xf>
    <xf numFmtId="0" fontId="5" fillId="0" borderId="2" xfId="0" applyFont="1" applyBorder="1" applyAlignment="1">
      <alignment horizontal="center"/>
    </xf>
    <xf numFmtId="0" fontId="5" fillId="0" borderId="0" xfId="0" applyFont="1" applyAlignment="1">
      <alignment horizontal="center"/>
    </xf>
    <xf numFmtId="0" fontId="1" fillId="0" borderId="0" xfId="0" applyFont="1" applyAlignment="1">
      <alignment horizontal="left" wrapText="1"/>
    </xf>
    <xf numFmtId="0" fontId="1" fillId="0" borderId="0" xfId="0" applyFont="1" applyAlignment="1">
      <alignment horizontal="center" vertical="center"/>
    </xf>
    <xf numFmtId="0" fontId="5" fillId="0" borderId="0" xfId="0" applyFont="1" applyAlignment="1">
      <alignment horizontal="center" vertical="center" wrapText="1"/>
    </xf>
    <xf numFmtId="0" fontId="3" fillId="0" borderId="0" xfId="0" applyFont="1" applyAlignment="1">
      <alignment horizontal="left" wrapText="1"/>
    </xf>
    <xf numFmtId="0" fontId="10" fillId="0" borderId="0" xfId="0" applyFont="1" applyAlignment="1">
      <alignment horizontal="center"/>
    </xf>
    <xf numFmtId="0" fontId="10" fillId="0" borderId="0" xfId="0" applyFont="1" applyAlignment="1">
      <alignment horizontal="center" wrapText="1"/>
    </xf>
    <xf numFmtId="0" fontId="7" fillId="0" borderId="0" xfId="0" applyFont="1"/>
    <xf numFmtId="0" fontId="7" fillId="0" borderId="0" xfId="0" applyFont="1" applyAlignment="1">
      <alignment wrapText="1"/>
    </xf>
    <xf numFmtId="0" fontId="11" fillId="3" borderId="0" xfId="0" applyFont="1" applyFill="1" applyAlignment="1">
      <alignment horizontal="center"/>
    </xf>
    <xf numFmtId="0" fontId="12" fillId="3" borderId="0" xfId="0" applyFont="1" applyFill="1" applyAlignment="1">
      <alignment horizontal="center"/>
    </xf>
    <xf numFmtId="0" fontId="11" fillId="3" borderId="0" xfId="0" applyFont="1" applyFill="1" applyAlignment="1">
      <alignment horizontal="center" wrapText="1"/>
    </xf>
    <xf numFmtId="0" fontId="12" fillId="0" borderId="0" xfId="0" applyFont="1" applyAlignment="1">
      <alignment horizontal="center" wrapText="1"/>
    </xf>
    <xf numFmtId="0" fontId="8" fillId="0" borderId="0" xfId="0" applyFont="1" applyAlignment="1">
      <alignment wrapText="1"/>
    </xf>
    <xf numFmtId="0" fontId="3" fillId="0" borderId="0" xfId="0" applyFont="1" applyAlignment="1">
      <alignment wrapText="1"/>
    </xf>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wrapText="1"/>
    </xf>
    <xf numFmtId="0" fontId="8" fillId="0" borderId="0" xfId="0" applyFont="1"/>
    <xf numFmtId="0" fontId="3" fillId="0" borderId="0" xfId="0" applyFont="1"/>
    <xf numFmtId="0" fontId="11" fillId="3" borderId="1" xfId="0" applyFont="1" applyFill="1" applyBorder="1" applyAlignment="1">
      <alignment horizontal="center"/>
    </xf>
    <xf numFmtId="0" fontId="12" fillId="3" borderId="1" xfId="0" applyFont="1" applyFill="1" applyBorder="1" applyAlignment="1">
      <alignment horizontal="center"/>
    </xf>
  </cellXfs>
  <cellStyles count="1">
    <cellStyle name="Normal" xfId="0" builtinId="0"/>
  </cellStyles>
  <dxfs count="84">
    <dxf>
      <fill>
        <patternFill>
          <bgColor rgb="FFB00020"/>
        </patternFill>
      </fill>
    </dxf>
    <dxf>
      <fill>
        <patternFill>
          <bgColor rgb="FF1B5E20"/>
        </patternFill>
      </fill>
    </dxf>
    <dxf>
      <fill>
        <patternFill>
          <bgColor rgb="FF1B5E20"/>
        </patternFill>
      </fill>
    </dxf>
    <dxf>
      <fill>
        <patternFill>
          <bgColor rgb="FFB00020"/>
        </patternFill>
      </fill>
    </dxf>
    <dxf>
      <fill>
        <patternFill>
          <bgColor rgb="FFB00020"/>
        </patternFill>
      </fill>
    </dxf>
    <dxf>
      <fill>
        <patternFill>
          <bgColor rgb="FF8A6D00"/>
        </patternFill>
      </fill>
    </dxf>
    <dxf>
      <fill>
        <patternFill>
          <bgColor rgb="FF1B5E20"/>
        </patternFill>
      </fill>
    </dxf>
    <dxf>
      <font>
        <b/>
        <i val="0"/>
        <color theme="0"/>
      </font>
      <fill>
        <patternFill>
          <bgColor rgb="FF1F4E79"/>
        </patternFill>
      </fill>
    </dxf>
    <dxf>
      <font>
        <b/>
        <i val="0"/>
        <color theme="0"/>
      </font>
      <fill>
        <patternFill>
          <bgColor rgb="FF1E6F3D"/>
        </patternFill>
      </fill>
    </dxf>
    <dxf>
      <font>
        <b/>
        <i val="0"/>
        <color theme="0"/>
      </font>
      <fill>
        <patternFill>
          <bgColor rgb="FF4B4B4B"/>
        </patternFill>
      </fill>
    </dxf>
    <dxf>
      <font>
        <b/>
        <i val="0"/>
        <color theme="0"/>
      </font>
      <fill>
        <patternFill>
          <bgColor rgb="FF2E7D32"/>
        </patternFill>
      </fill>
    </dxf>
    <dxf>
      <font>
        <b/>
        <i val="0"/>
        <color theme="0"/>
      </font>
      <fill>
        <patternFill>
          <bgColor rgb="FF37474F"/>
        </patternFill>
      </fill>
    </dxf>
    <dxf>
      <font>
        <b/>
        <i val="0"/>
        <color theme="0"/>
      </font>
      <fill>
        <patternFill>
          <bgColor rgb="FF6B4F00"/>
        </patternFill>
      </fill>
    </dxf>
    <dxf>
      <font>
        <b/>
        <i val="0"/>
        <color theme="0"/>
      </font>
      <fill>
        <patternFill>
          <bgColor rgb="FF1F4E79"/>
        </patternFill>
      </fill>
    </dxf>
    <dxf>
      <font>
        <b/>
        <i val="0"/>
        <color theme="0"/>
      </font>
      <fill>
        <patternFill>
          <bgColor rgb="FF1E6F3D"/>
        </patternFill>
      </fill>
    </dxf>
    <dxf>
      <font>
        <b/>
        <i val="0"/>
        <color theme="0"/>
      </font>
      <fill>
        <patternFill>
          <bgColor rgb="FF1B5E20"/>
        </patternFill>
      </fill>
    </dxf>
    <dxf>
      <font>
        <b/>
        <i val="0"/>
        <color theme="0"/>
      </font>
      <fill>
        <patternFill>
          <bgColor rgb="FFB00020"/>
        </patternFill>
      </fill>
    </dxf>
    <dxf>
      <font>
        <color theme="0"/>
      </font>
      <fill>
        <patternFill>
          <bgColor rgb="FF1B5E20"/>
        </patternFill>
      </fill>
    </dxf>
    <dxf>
      <font>
        <color theme="0"/>
      </font>
      <fill>
        <patternFill>
          <bgColor rgb="FFB00020"/>
        </patternFill>
      </fill>
    </dxf>
    <dxf>
      <font>
        <b/>
        <i val="0"/>
        <color theme="0"/>
      </font>
      <fill>
        <patternFill>
          <bgColor rgb="FF1B5E20"/>
        </patternFill>
      </fill>
    </dxf>
    <dxf>
      <font>
        <b/>
        <i val="0"/>
        <color theme="0"/>
      </font>
      <fill>
        <patternFill>
          <bgColor rgb="FFB00020"/>
        </patternFill>
      </fill>
    </dxf>
    <dxf>
      <font>
        <b/>
        <i val="0"/>
        <color theme="0"/>
      </font>
      <fill>
        <patternFill>
          <bgColor rgb="FFB45309"/>
        </patternFill>
      </fill>
    </dxf>
    <dxf>
      <font>
        <b/>
        <i val="0"/>
        <color theme="0"/>
      </font>
      <fill>
        <patternFill>
          <bgColor rgb="FF8B0000"/>
        </patternFill>
      </fill>
    </dxf>
    <dxf>
      <font>
        <b/>
        <i val="0"/>
        <color theme="0"/>
      </font>
      <fill>
        <patternFill>
          <bgColor rgb="FF166534"/>
        </patternFill>
      </fill>
    </dxf>
    <dxf>
      <font>
        <b/>
        <i val="0"/>
      </font>
      <fill>
        <patternFill>
          <bgColor rgb="FF007A3D"/>
        </patternFill>
      </fill>
    </dxf>
    <dxf>
      <font>
        <b/>
        <i val="0"/>
      </font>
      <fill>
        <patternFill>
          <bgColor rgb="FFFFD500"/>
        </patternFill>
      </fill>
    </dxf>
    <dxf>
      <font>
        <b/>
        <i val="0"/>
      </font>
      <fill>
        <patternFill>
          <bgColor rgb="FFD32F2F"/>
        </patternFill>
      </fill>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protection locked="1" hidden="0"/>
    </dxf>
    <dxf>
      <border outline="0">
        <top style="thin">
          <color indexed="64"/>
        </top>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top style="thin">
          <color indexed="64"/>
        </top>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top style="thin">
          <color indexed="64"/>
        </top>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left" vertical="center" textRotation="0" wrapText="1" indent="0" justifyLastLine="0" shrinkToFit="0" readingOrder="0"/>
      <protection locked="1" hidden="0"/>
    </dxf>
    <dxf>
      <border outline="0">
        <top style="thin">
          <color indexed="64"/>
        </top>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none"/>
      </font>
      <alignment horizontal="left" vertical="bottom" textRotation="0" wrapText="1"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bottom" textRotation="0" wrapText="0" indent="0" justifyLastLine="0" shrinkToFit="0" readingOrder="0"/>
      <protection locked="1" hidden="0"/>
    </dxf>
    <dxf>
      <font>
        <b/>
        <strike val="0"/>
        <outline val="0"/>
        <shadow val="0"/>
        <u val="none"/>
        <vertAlign val="baseline"/>
        <sz val="11"/>
        <color theme="0"/>
        <name val="Calibri"/>
        <family val="2"/>
        <scheme val="none"/>
      </font>
      <alignment horizontal="center" vertical="bottom" textRotation="0" wrapText="0" indent="0" justifyLastLine="0" shrinkToFit="0" readingOrder="0"/>
      <protection locked="1" hidden="0"/>
    </dxf>
    <dxf>
      <font>
        <b/>
        <strike val="0"/>
        <outline val="0"/>
        <shadow val="0"/>
        <u val="none"/>
        <vertAlign val="baseline"/>
        <sz val="11"/>
        <color theme="0"/>
        <name val="Calibri"/>
        <family val="2"/>
        <scheme val="none"/>
      </font>
      <alignment horizontal="center" vertical="bottom" textRotation="0" wrapText="0" indent="0" justifyLastLine="0" shrinkToFit="0" readingOrder="0"/>
      <border diagonalUp="0" diagonalDown="0" outline="0">
        <left/>
        <right style="thin">
          <color indexed="64"/>
        </right>
        <top/>
        <bottom/>
      </border>
      <protection locked="1" hidden="0"/>
    </dxf>
    <dxf>
      <font>
        <strike val="0"/>
        <outline val="0"/>
        <shadow val="0"/>
        <u val="none"/>
        <vertAlign val="baseline"/>
        <sz val="11"/>
        <color theme="1"/>
        <name val="Calibri"/>
        <family val="2"/>
        <scheme val="none"/>
      </font>
      <alignment horizontal="center" vertical="bottom" textRotation="0" wrapText="0" indent="0" justifyLastLine="0" shrinkToFit="0" readingOrder="0"/>
      <protection locked="1" hidden="0"/>
    </dxf>
    <dxf>
      <font>
        <strike val="0"/>
        <outline val="0"/>
        <shadow val="0"/>
        <u val="none"/>
        <vertAlign val="baseline"/>
        <sz val="11"/>
        <color theme="1"/>
        <name val="Calibri"/>
        <family val="2"/>
        <scheme val="none"/>
      </font>
      <alignment horizontal="center" vertical="bottom" textRotation="0" wrapText="0" indent="0" justifyLastLine="0" shrinkToFit="0" readingOrder="0"/>
      <protection locked="1" hidden="0"/>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0" formatCode="Genera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0" formatCode="General"/>
      <alignment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0" formatCode="General"/>
      <alignment textRotation="0" wrapText="1" indent="0" justifyLastLine="0" shrinkToFit="0" readingOrder="0"/>
      <protection locked="1" hidden="0"/>
    </dxf>
    <dxf>
      <font>
        <strike val="0"/>
        <outline val="0"/>
        <shadow val="0"/>
        <u val="none"/>
        <vertAlign val="baseline"/>
        <sz val="11"/>
        <color theme="1"/>
        <name val="Calibri"/>
        <family val="2"/>
        <scheme val="none"/>
      </font>
      <alignment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alignment textRotation="0" wrapText="1" indent="0" justifyLastLine="0" shrinkToFit="0" readingOrder="0"/>
    </dxf>
    <dxf>
      <font>
        <b/>
        <i val="0"/>
        <strike val="0"/>
        <condense val="0"/>
        <extend val="0"/>
        <outline val="0"/>
        <shadow val="0"/>
        <u val="none"/>
        <vertAlign val="baseline"/>
        <sz val="11"/>
        <color theme="0"/>
        <name val="Calibri"/>
        <family val="2"/>
        <scheme val="none"/>
      </font>
      <numFmt numFmtId="0" formatCode="General"/>
      <alignment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textRotation="0" wrapText="1" indent="0" justifyLastLine="0" shrinkToFit="0" readingOrder="0"/>
    </dxf>
    <dxf>
      <font>
        <b val="0"/>
        <i val="0"/>
        <strike val="0"/>
        <condense val="0"/>
        <extend val="0"/>
        <outline val="0"/>
        <shadow val="0"/>
        <u val="none"/>
        <vertAlign val="baseline"/>
        <sz val="11"/>
        <color theme="1"/>
        <name val="Calibri"/>
        <family val="2"/>
        <scheme val="none"/>
      </font>
      <alignment textRotation="0" wrapText="1" indent="0" justifyLastLine="0" shrinkToFit="0" readingOrder="0"/>
    </dxf>
    <dxf>
      <font>
        <b val="0"/>
        <i val="0"/>
        <strike val="0"/>
        <condense val="0"/>
        <extend val="0"/>
        <outline val="0"/>
        <shadow val="0"/>
        <u val="none"/>
        <vertAlign val="baseline"/>
        <sz val="11"/>
        <color theme="1"/>
        <name val="Calibri"/>
        <family val="2"/>
        <scheme val="none"/>
      </font>
      <alignment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protection locked="1" hidden="0"/>
    </dxf>
    <dxf>
      <font>
        <b/>
        <i val="0"/>
        <strike val="0"/>
        <condense val="0"/>
        <extend val="0"/>
        <outline val="0"/>
        <shadow val="0"/>
        <u val="none"/>
        <vertAlign val="baseline"/>
        <sz val="11"/>
        <color theme="1"/>
        <name val="Calibri"/>
        <family val="2"/>
        <scheme val="none"/>
      </font>
      <numFmt numFmtId="0" formatCode="General"/>
      <alignment horizont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theme="0" tint="-4.9989318521683403E-2"/>
        </patternFill>
      </fill>
      <alignment horizontal="center" vertical="bottom" textRotation="0" wrapText="1" indent="0" justifyLastLine="0" shrinkToFit="0" readingOrder="0"/>
    </dxf>
  </dxfs>
  <tableStyles count="0" defaultTableStyle="TableStyleMedium2" defaultPivotStyle="PivotStyleLight16"/>
  <colors>
    <mruColors>
      <color rgb="FF6B4F00"/>
      <color rgb="FF1E6F3D"/>
      <color rgb="FF1F4E79"/>
      <color rgb="FF37474F"/>
      <color rgb="FF2E7D32"/>
      <color rgb="FF4B4B4B"/>
      <color rgb="FF8A6D00"/>
      <color rgb="FF1F1F1F"/>
      <color rgb="FFFFFFFF"/>
      <color rgb="FFB00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7C60C6-6CE8-41F5-B747-477697FD753E}" name="RiskRegister" displayName="RiskRegister" ref="A1:Y11" totalsRowShown="0" headerRowDxfId="83" dataDxfId="82">
  <autoFilter ref="A1:Y11" xr:uid="{847C60C6-6CE8-41F5-B747-477697FD753E}"/>
  <tableColumns count="25">
    <tableColumn id="1" xr3:uid="{A292029F-4AC7-4867-B2DB-02AC38E77D7D}" name="Risk ID" dataDxfId="81"/>
    <tableColumn id="2" xr3:uid="{D1EC33AF-771F-46B3-90C1-55C15281EA20}" name="Description" dataDxfId="80"/>
    <tableColumn id="3" xr3:uid="{A965F3FE-82A7-4D6A-B8BF-2E853F25FA07}" name="Likelihood" dataDxfId="79"/>
    <tableColumn id="4" xr3:uid="{AD16E6E7-6EF4-4079-8C35-1408BA2DD625}" name="Impact" dataDxfId="78"/>
    <tableColumn id="5" xr3:uid="{DB90D56E-916C-48CB-92B8-8E2132D31BC0}" name="Risk Score (Inherent)" dataDxfId="77">
      <calculatedColumnFormula>RiskRegister[[#This Row],[Likelihood]]*RiskRegister[[#This Row],[Impact]]</calculatedColumnFormula>
    </tableColumn>
    <tableColumn id="6" xr3:uid="{4DB71A14-10BA-413E-9A01-E05153A5C60D}" name="Risk Rating (Numeric)" dataDxfId="76"/>
    <tableColumn id="7" xr3:uid="{7AA2593A-09BB-44EE-9CBB-B2B5D648E914}" name="Risk Rating (Icon)" dataDxfId="75"/>
    <tableColumn id="8" xr3:uid="{1F9F8BDC-F485-44A4-8DE0-087EE1A971FA}" name="Risk Rating (Text)" dataDxfId="74">
      <calculatedColumnFormula>CHOOSE(RiskRegister[[#This Row],[Risk Rating (Numeric)]],"Low","Medium","High")</calculatedColumnFormula>
    </tableColumn>
    <tableColumn id="9" xr3:uid="{9E222550-D405-43CA-B6D6-D22C331B5A71}" name="Mitigation" dataDxfId="73"/>
    <tableColumn id="10" xr3:uid="{5F7CB66D-965F-4C97-9050-75DEC07CE48B}" name="Owner" dataDxfId="72"/>
    <tableColumn id="11" xr3:uid="{87561932-4333-4AD6-A280-0D107C3E763A}" name="Residual Risk" dataDxfId="71"/>
    <tableColumn id="12" xr3:uid="{535D7651-D761-4CD8-9498-B0E1600BBB31}" name="Residual Risk Score" dataDxfId="70">
      <calculatedColumnFormula>IF(RiskRegister[[#This Row],[Residual Risk]]="High",15,
 IF(RiskRegister[[#This Row],[Residual Risk]]="Medium",10,
 IF(RiskRegister[[#This Row],[Residual Risk]]="Low",5,"")))</calculatedColumnFormula>
    </tableColumn>
    <tableColumn id="13" xr3:uid="{8352A8D9-3116-4B94-857F-82A1D18266B5}" name="Residual Risk Rating (Numeric)" dataDxfId="69">
      <calculatedColumnFormula>IF(RiskRegister[[#This Row],[Residual Risk Score]]&gt;15,3,
 IF(RiskRegister[[#This Row],[Residual Risk Score]]&gt;=8,2,1))</calculatedColumnFormula>
    </tableColumn>
    <tableColumn id="14" xr3:uid="{E6BA40F4-E4B3-4E74-96A7-988F5511E8D6}" name="Residual Risk Rating (Icon)" dataDxfId="68">
      <calculatedColumnFormula>RiskRegister[[#This Row],[Residual Risk Rating (Numeric)]]</calculatedColumnFormula>
    </tableColumn>
    <tableColumn id="15" xr3:uid="{53EB0DFD-3111-4ABC-8D07-0F620A9F8C4C}" name="Residual Risk Rating (Text)" dataDxfId="67">
      <calculatedColumnFormula>CHOOSE(RiskRegister[[#This Row],[Residual Risk Rating (Numeric)]],"Low","Medium","High")</calculatedColumnFormula>
    </tableColumn>
    <tableColumn id="16" xr3:uid="{18F26C6D-55F3-4D64-98FC-A8000A847CD2}" name="Risk Appetite Threshold" dataDxfId="66"/>
    <tableColumn id="17" xr3:uid="{518A0FEF-78B5-4193-AC9F-6B25F1FEA643}" name="Residual Risk vs Appetite" dataDxfId="65">
      <calculatedColumnFormula>IF(RiskRegister[[#This Row],[Residual Risk Rating (Numeric)]]&gt;
   IF(RiskRegister[[#This Row],[Risk Appetite Threshold]]="Low",1,
      IF(RiskRegister[[#This Row],[Risk Appetite Threshold]]="Medium",2,3)),
"Exceeds Appetite","Within Appetite")</calculatedColumnFormula>
    </tableColumn>
    <tableColumn id="24" xr3:uid="{C9DB6B48-8925-4BB2-85D3-504723E88A4A}" name="Risk Acceptance Authority" dataDxfId="64"/>
    <tableColumn id="18" xr3:uid="{227F3C71-5699-47BA-AFE3-C858EB7D2104}" name="Escalation Required" dataDxfId="63">
      <calculatedColumnFormula>IF(RiskRegister[[#This Row],[Residual Risk vs Appetite]]="Exceeds Appetite","Yes","No")</calculatedColumnFormula>
    </tableColumn>
    <tableColumn id="19" xr3:uid="{079AC381-8DB1-4879-A043-B527577E2E16}" name="Escalation Owner" dataDxfId="62">
      <calculatedColumnFormula>IF(RiskRegister[[#This Row],[Escalation Required]]="Yes",RiskRegister[[#This Row],[Owner]],"")</calculatedColumnFormula>
    </tableColumn>
    <tableColumn id="20" xr3:uid="{F28E4E64-E922-46A0-BE06-17A25F406400}" name="Escalation Status" dataDxfId="61">
      <calculatedColumnFormula>IF(RiskRegister[[#This Row],[Escalation Required]]="Yes","Open","")</calculatedColumnFormula>
    </tableColumn>
    <tableColumn id="25" xr3:uid="{7232A89A-0B1C-4F3D-B172-730FE9EF94E3}" name="Risk Status " dataDxfId="60"/>
    <tableColumn id="21" xr3:uid="{03EE24BA-4415-418C-B078-E739721D8AE5}" name="Review Date" dataDxfId="59"/>
    <tableColumn id="23" xr3:uid="{23966295-73BE-4FD7-AF94-0FEA67D35A17}" name="Last Reviewed" dataDxfId="58"/>
    <tableColumn id="22" xr3:uid="{6A1DDDF7-AC8B-4100-8A1E-387F14A263BB}" name="Related Control(s)" dataDxfId="57"/>
  </tableColumns>
  <tableStyleInfo name="TableStyleMedium2" showFirstColumn="0" showLastColumn="0" showRowStripes="1" showColumnStripes="0"/>
  <extLst>
    <ext xmlns:x14="http://schemas.microsoft.com/office/spreadsheetml/2009/9/main" uri="{504A1905-F514-4f6f-8877-14C23A59335A}">
      <x14:table altText="RiskRegister"/>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DAC3F-4D00-474E-BF3C-F9A8C0F1609D}" name="Table6" displayName="Table6" ref="A20:E22" totalsRowShown="0" headerRowDxfId="56" dataDxfId="55">
  <autoFilter ref="A20:E22" xr:uid="{2E2DAC3F-4D00-474E-BF3C-F9A8C0F1609D}"/>
  <tableColumns count="5">
    <tableColumn id="1" xr3:uid="{CD9F2BDA-267A-487C-9B21-839ED79A8814}" name="Condition" dataDxfId="54"/>
    <tableColumn id="2" xr3:uid="{01471BF4-08B0-4616-9C09-A95D7FF0F9B7}" name="Residual Risk vs Appetite" dataDxfId="53"/>
    <tableColumn id="3" xr3:uid="{A4CE4CFE-8500-4BCE-8FC1-78CE8F81AEC9}" name="Escalation Required" dataDxfId="52"/>
    <tableColumn id="5" xr3:uid="{C21781D8-48DC-4CC3-A6EC-143E737E8C05}" name="Escalation Path" dataDxfId="51"/>
    <tableColumn id="4" xr3:uid="{72411909-48D7-481E-81A1-88B67BC5FEB5}" name="Action" dataDxfId="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9855F4-FE94-466F-A9C9-1DC1B7BEB9A3}" name="Table8" displayName="Table8" ref="A2:F5" totalsRowShown="0" headerRowDxfId="49" tableBorderDxfId="48">
  <autoFilter ref="A2:F5" xr:uid="{4B9855F4-FE94-466F-A9C9-1DC1B7BEB9A3}"/>
  <tableColumns count="6">
    <tableColumn id="1" xr3:uid="{644454B4-92E7-4B73-B298-F9D6EED29DF2}" name="Rating" dataDxfId="47"/>
    <tableColumn id="2" xr3:uid="{596E75FA-9C58-4C6A-9F55-7FDF6658774C}" name="Score Range"/>
    <tableColumn id="3" xr3:uid="{7857272B-D2E8-428F-A2B4-D14C4D8C1863}" name="Meaning" dataDxfId="46"/>
    <tableColumn id="4" xr3:uid="{AE9E2C98-6C7A-495E-B313-AB7BAB99AB2A}" name="Required Action" dataDxfId="45"/>
    <tableColumn id="5" xr3:uid="{423F5104-E8AA-4B48-8A15-87FAD0D71ED9}" name="Icon Text" dataDxfId="44"/>
    <tableColumn id="6" xr3:uid="{E05321EC-96F0-40D3-B0A8-758ED7101A2D}" name="Icon" dataDxfId="43">
      <calculatedColumnFormula>E3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58BD4B3-DB3E-4CE4-A03C-2AD6CDB621D5}" name="Table9" displayName="Table9" ref="H10:J15" totalsRowShown="0" tableBorderDxfId="42">
  <autoFilter ref="H10:J15" xr:uid="{558BD4B3-DB3E-4CE4-A03C-2AD6CDB621D5}"/>
  <tableColumns count="3">
    <tableColumn id="1" xr3:uid="{882D5C20-05C8-45E4-B5BA-93EA4483FCE9}" name="Score" dataDxfId="41"/>
    <tableColumn id="2" xr3:uid="{D8F043D0-A8D7-499B-8383-8C9BEA4CCC5B}" name="Definition" dataDxfId="40"/>
    <tableColumn id="3" xr3:uid="{16B3E7DE-B0C6-4AA4-9DE6-886B0E7BD38B}" name="Example"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5AFAAED-8700-42CD-8FE5-BC2E54D52AD4}" name="Table10" displayName="Table10" ref="L10:N15" totalsRowShown="0" headerRowDxfId="38" tableBorderDxfId="37">
  <autoFilter ref="L10:N15" xr:uid="{E5AFAAED-8700-42CD-8FE5-BC2E54D52AD4}"/>
  <tableColumns count="3">
    <tableColumn id="1" xr3:uid="{20CC019F-80C0-49F3-8598-1B244F01899C}" name="Score" dataDxfId="36"/>
    <tableColumn id="2" xr3:uid="{F813C136-C1B6-4927-9232-6738A4A7FDB1}" name="Definition" dataDxfId="35"/>
    <tableColumn id="3" xr3:uid="{C2D6FC71-FD89-40CE-B5C8-FCBEC5B3B022}" name="Description"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5C5484-1F04-4741-BF62-24C11492DB17}" name="Table11" displayName="Table11" ref="A28:E31" totalsRowShown="0" headerRowDxfId="33" tableBorderDxfId="32">
  <autoFilter ref="A28:E31" xr:uid="{2D5C5484-1F04-4741-BF62-24C11492DB17}"/>
  <tableColumns count="5">
    <tableColumn id="1" xr3:uid="{002082DA-5225-4AF2-871D-068B1EC18230}" name="Icon" dataDxfId="31">
      <calculatedColumnFormula>B29</calculatedColumnFormula>
    </tableColumn>
    <tableColumn id="2" xr3:uid="{0C71D19F-047C-472E-A4C6-1645964294AD}" name="Icon Text" dataDxfId="30"/>
    <tableColumn id="3" xr3:uid="{F81B70FC-C8BD-4DD2-B70F-570D6290B5B1}" name="Status" dataDxfId="29"/>
    <tableColumn id="4" xr3:uid="{BAB7AD09-319B-4D43-86FD-69B65559B08F}" name="Meaning" dataDxfId="28"/>
    <tableColumn id="5" xr3:uid="{51E92DD9-8F64-4A5A-9942-DB15BFD1A3D9}" name="Notes"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C95A-7407-4398-8623-E1D1FE75592A}">
  <dimension ref="A1:Z12"/>
  <sheetViews>
    <sheetView tabSelected="1" zoomScale="73" workbookViewId="0">
      <selection activeCell="B14" sqref="B14"/>
    </sheetView>
  </sheetViews>
  <sheetFormatPr defaultRowHeight="14.4"/>
  <cols>
    <col min="1" max="1" width="12.6640625" style="17" bestFit="1" customWidth="1"/>
    <col min="2" max="2" width="23.33203125" style="17" customWidth="1"/>
    <col min="3" max="3" width="14.109375" style="8" customWidth="1"/>
    <col min="4" max="4" width="11.33203125" style="8" customWidth="1"/>
    <col min="5" max="5" width="14.33203125" style="8" bestFit="1" customWidth="1"/>
    <col min="6" max="6" width="15" style="6" hidden="1" customWidth="1"/>
    <col min="7" max="8" width="15" style="6" bestFit="1" customWidth="1"/>
    <col min="9" max="9" width="24.33203125" style="8" bestFit="1" customWidth="1"/>
    <col min="10" max="10" width="14.44140625" style="8" bestFit="1" customWidth="1"/>
    <col min="11" max="11" width="16.21875" style="8" bestFit="1" customWidth="1"/>
    <col min="12" max="12" width="13.88671875" style="8" bestFit="1" customWidth="1"/>
    <col min="13" max="13" width="19.77734375" style="8" hidden="1" customWidth="1"/>
    <col min="14" max="15" width="16.6640625" style="8" bestFit="1" customWidth="1"/>
    <col min="16" max="16" width="16.88671875" style="8" bestFit="1" customWidth="1"/>
    <col min="17" max="17" width="19" style="8" bestFit="1" customWidth="1"/>
    <col min="18" max="18" width="19.5546875" style="7" bestFit="1" customWidth="1"/>
    <col min="19" max="21" width="14.33203125" style="8" bestFit="1" customWidth="1"/>
    <col min="22" max="22" width="14.44140625" style="8" bestFit="1" customWidth="1"/>
    <col min="23" max="23" width="15.77734375" style="17" bestFit="1" customWidth="1"/>
    <col min="24" max="24" width="17.33203125" style="17" bestFit="1" customWidth="1"/>
    <col min="25" max="25" width="20.6640625" style="17" bestFit="1" customWidth="1"/>
  </cols>
  <sheetData>
    <row r="1" spans="1:26" s="18" customFormat="1" ht="28.8">
      <c r="A1" s="16" t="s">
        <v>0</v>
      </c>
      <c r="B1" s="16" t="s">
        <v>1</v>
      </c>
      <c r="C1" s="18" t="s">
        <v>2</v>
      </c>
      <c r="D1" s="18" t="s">
        <v>3</v>
      </c>
      <c r="E1" s="18" t="s">
        <v>31</v>
      </c>
      <c r="F1" s="18" t="s">
        <v>39</v>
      </c>
      <c r="G1" s="18" t="s">
        <v>69</v>
      </c>
      <c r="H1" s="18" t="s">
        <v>38</v>
      </c>
      <c r="I1" s="18" t="s">
        <v>4</v>
      </c>
      <c r="J1" s="18" t="s">
        <v>5</v>
      </c>
      <c r="K1" s="18" t="s">
        <v>6</v>
      </c>
      <c r="L1" s="18" t="s">
        <v>32</v>
      </c>
      <c r="M1" s="18" t="s">
        <v>40</v>
      </c>
      <c r="N1" s="18" t="s">
        <v>70</v>
      </c>
      <c r="O1" s="18" t="s">
        <v>41</v>
      </c>
      <c r="P1" s="18" t="s">
        <v>33</v>
      </c>
      <c r="Q1" s="18" t="s">
        <v>34</v>
      </c>
      <c r="R1" s="18" t="s">
        <v>111</v>
      </c>
      <c r="S1" s="18" t="s">
        <v>35</v>
      </c>
      <c r="T1" s="18" t="s">
        <v>36</v>
      </c>
      <c r="U1" s="18" t="s">
        <v>37</v>
      </c>
      <c r="V1" s="18" t="s">
        <v>113</v>
      </c>
      <c r="W1" s="16" t="s">
        <v>7</v>
      </c>
      <c r="X1" s="16" t="s">
        <v>110</v>
      </c>
      <c r="Y1" s="16" t="s">
        <v>8</v>
      </c>
    </row>
    <row r="2" spans="1:26" ht="28.8">
      <c r="A2" s="19" t="s">
        <v>9</v>
      </c>
      <c r="B2" s="17" t="s">
        <v>19</v>
      </c>
      <c r="C2" s="20">
        <v>5</v>
      </c>
      <c r="D2" s="20">
        <v>5</v>
      </c>
      <c r="E2" s="20">
        <f>RiskRegister[[#This Row],[Likelihood]]*RiskRegister[[#This Row],[Impact]]</f>
        <v>25</v>
      </c>
      <c r="F2" s="21">
        <f>IF(RiskRegister[[#This Row],[Risk Score (Inherent)]]&gt;15,3,
 IF(RiskRegister[[#This Row],[Risk Score (Inherent)]]&gt;=8,2,1))</f>
        <v>3</v>
      </c>
      <c r="G2" s="21">
        <f>RiskRegister[[#This Row],[Risk Rating (Numeric)]]</f>
        <v>3</v>
      </c>
      <c r="H2" s="22" t="str">
        <f>CHOOSE(RiskRegister[[#This Row],[Risk Rating (Numeric)]],"Low","Medium","High")</f>
        <v>High</v>
      </c>
      <c r="I2" s="8" t="s">
        <v>42</v>
      </c>
      <c r="J2" s="8" t="s">
        <v>43</v>
      </c>
      <c r="K2" s="8" t="s">
        <v>29</v>
      </c>
      <c r="L2" s="6">
        <f>IF(RiskRegister[[#This Row],[Residual Risk]]="High",15,
 IF(RiskRegister[[#This Row],[Residual Risk]]="Medium",10,
 IF(RiskRegister[[#This Row],[Residual Risk]]="Low",5,"")))</f>
        <v>10</v>
      </c>
      <c r="M2" s="6">
        <f>IF(RiskRegister[[#This Row],[Residual Risk Score]]&gt;15,3,
 IF(RiskRegister[[#This Row],[Residual Risk Score]]&gt;=8,2,1))</f>
        <v>2</v>
      </c>
      <c r="N2" s="5">
        <f>RiskRegister[[#This Row],[Residual Risk Rating (Numeric)]]</f>
        <v>2</v>
      </c>
      <c r="O2" s="23" t="str">
        <f>CHOOSE(RiskRegister[[#This Row],[Residual Risk Rating (Numeric)]],"Low","Medium","High")</f>
        <v>Medium</v>
      </c>
      <c r="P2" s="8" t="s">
        <v>30</v>
      </c>
      <c r="Q2" s="23" t="str">
        <f>IF(RiskRegister[[#This Row],[Residual Risk Rating (Numeric)]]&gt;
   IF(RiskRegister[[#This Row],[Risk Appetite Threshold]]="Low",1,
      IF(RiskRegister[[#This Row],[Risk Appetite Threshold]]="Medium",2,3)),
"Exceeds Appetite","Within Appetite")</f>
        <v>Exceeds Appetite</v>
      </c>
      <c r="R2" s="8" t="s">
        <v>112</v>
      </c>
      <c r="S2" s="23" t="str">
        <f>IF(RiskRegister[[#This Row],[Residual Risk vs Appetite]]="Exceeds Appetite","Yes","No")</f>
        <v>Yes</v>
      </c>
      <c r="T2" s="8" t="str">
        <f>IF(RiskRegister[[#This Row],[Escalation Required]]="Yes",RiskRegister[[#This Row],[Owner]],"")</f>
        <v>IT Manager</v>
      </c>
      <c r="U2" s="23" t="str">
        <f>IF(RiskRegister[[#This Row],[Escalation Required]]="Yes","Open","")</f>
        <v>Open</v>
      </c>
      <c r="V2" s="23" t="s">
        <v>114</v>
      </c>
      <c r="W2" s="24">
        <v>46068</v>
      </c>
      <c r="X2" s="24">
        <v>46027</v>
      </c>
      <c r="Y2" s="19" t="s">
        <v>44</v>
      </c>
      <c r="Z2" s="2"/>
    </row>
    <row r="3" spans="1:26" ht="28.8">
      <c r="A3" s="19" t="s">
        <v>10</v>
      </c>
      <c r="B3" s="17" t="s">
        <v>20</v>
      </c>
      <c r="C3" s="20">
        <v>4</v>
      </c>
      <c r="D3" s="20">
        <v>5</v>
      </c>
      <c r="E3" s="20">
        <f>RiskRegister[[#This Row],[Likelihood]]*RiskRegister[[#This Row],[Impact]]</f>
        <v>20</v>
      </c>
      <c r="F3" s="21">
        <f>IF(RiskRegister[[#This Row],[Risk Score (Inherent)]]&gt;15,3,
 IF(RiskRegister[[#This Row],[Risk Score (Inherent)]]&gt;=8,2,1))</f>
        <v>3</v>
      </c>
      <c r="G3" s="21">
        <f>RiskRegister[[#This Row],[Risk Rating (Numeric)]]</f>
        <v>3</v>
      </c>
      <c r="H3" s="22" t="str">
        <f>CHOOSE(RiskRegister[[#This Row],[Risk Rating (Numeric)]],"Low","Medium","High")</f>
        <v>High</v>
      </c>
      <c r="I3" s="8" t="s">
        <v>45</v>
      </c>
      <c r="J3" s="8" t="s">
        <v>46</v>
      </c>
      <c r="K3" s="8" t="s">
        <v>30</v>
      </c>
      <c r="L3" s="6">
        <f>IF(RiskRegister[[#This Row],[Residual Risk]]="High",15,
 IF(RiskRegister[[#This Row],[Residual Risk]]="Medium",10,
 IF(RiskRegister[[#This Row],[Residual Risk]]="Low",5,"")))</f>
        <v>5</v>
      </c>
      <c r="M3" s="6">
        <f>IF(RiskRegister[[#This Row],[Residual Risk Score]]&gt;15,3,
 IF(RiskRegister[[#This Row],[Residual Risk Score]]&gt;=8,2,1))</f>
        <v>1</v>
      </c>
      <c r="N3" s="5">
        <f>RiskRegister[[#This Row],[Residual Risk Rating (Numeric)]]</f>
        <v>1</v>
      </c>
      <c r="O3" s="23" t="str">
        <f>CHOOSE(RiskRegister[[#This Row],[Residual Risk Rating (Numeric)]],"Low","Medium","High")</f>
        <v>Low</v>
      </c>
      <c r="P3" s="8" t="s">
        <v>30</v>
      </c>
      <c r="Q3" s="23" t="str">
        <f>IF(RiskRegister[[#This Row],[Residual Risk Rating (Numeric)]]&gt;
   IF(RiskRegister[[#This Row],[Risk Appetite Threshold]]="Low",1,
      IF(RiskRegister[[#This Row],[Risk Appetite Threshold]]="Medium",2,3)),
"Exceeds Appetite","Within Appetite")</f>
        <v>Within Appetite</v>
      </c>
      <c r="R3" s="8" t="s">
        <v>60</v>
      </c>
      <c r="S3" s="23" t="str">
        <f>IF(RiskRegister[[#This Row],[Residual Risk vs Appetite]]="Exceeds Appetite","Yes","No")</f>
        <v>No</v>
      </c>
      <c r="T3" s="8" t="str">
        <f>IF(RiskRegister[[#This Row],[Escalation Required]]="Yes",RiskRegister[[#This Row],[Owner]],"")</f>
        <v/>
      </c>
      <c r="U3" s="8" t="str">
        <f>IF(RiskRegister[[#This Row],[Escalation Required]]="Yes","Open","")</f>
        <v/>
      </c>
      <c r="V3" s="8" t="s">
        <v>114</v>
      </c>
      <c r="W3" s="24">
        <v>46203</v>
      </c>
      <c r="X3" s="24">
        <v>46021</v>
      </c>
      <c r="Y3" s="19" t="s">
        <v>47</v>
      </c>
      <c r="Z3" s="2"/>
    </row>
    <row r="4" spans="1:26" ht="28.8">
      <c r="A4" s="19" t="s">
        <v>11</v>
      </c>
      <c r="B4" s="17" t="s">
        <v>21</v>
      </c>
      <c r="C4" s="20">
        <v>5</v>
      </c>
      <c r="D4" s="20">
        <v>3</v>
      </c>
      <c r="E4" s="20">
        <f>RiskRegister[[#This Row],[Likelihood]]*RiskRegister[[#This Row],[Impact]]</f>
        <v>15</v>
      </c>
      <c r="F4" s="21">
        <f>IF(RiskRegister[[#This Row],[Risk Score (Inherent)]]&gt;15,3,
 IF(RiskRegister[[#This Row],[Risk Score (Inherent)]]&gt;=8,2,1))</f>
        <v>2</v>
      </c>
      <c r="G4" s="21">
        <f>RiskRegister[[#This Row],[Risk Rating (Numeric)]]</f>
        <v>2</v>
      </c>
      <c r="H4" s="22" t="str">
        <f>CHOOSE(RiskRegister[[#This Row],[Risk Rating (Numeric)]],"Low","Medium","High")</f>
        <v>Medium</v>
      </c>
      <c r="I4" s="8" t="s">
        <v>48</v>
      </c>
      <c r="J4" s="8" t="s">
        <v>43</v>
      </c>
      <c r="K4" s="8" t="s">
        <v>29</v>
      </c>
      <c r="L4" s="6">
        <f>IF(RiskRegister[[#This Row],[Residual Risk]]="High",15,
 IF(RiskRegister[[#This Row],[Residual Risk]]="Medium",10,
 IF(RiskRegister[[#This Row],[Residual Risk]]="Low",5,"")))</f>
        <v>10</v>
      </c>
      <c r="M4" s="6">
        <f>IF(RiskRegister[[#This Row],[Residual Risk Score]]&gt;15,3,
 IF(RiskRegister[[#This Row],[Residual Risk Score]]&gt;=8,2,1))</f>
        <v>2</v>
      </c>
      <c r="N4" s="5">
        <f>RiskRegister[[#This Row],[Residual Risk Rating (Numeric)]]</f>
        <v>2</v>
      </c>
      <c r="O4" s="23" t="str">
        <f>CHOOSE(RiskRegister[[#This Row],[Residual Risk Rating (Numeric)]],"Low","Medium","High")</f>
        <v>Medium</v>
      </c>
      <c r="P4" s="8" t="s">
        <v>29</v>
      </c>
      <c r="Q4" s="23" t="str">
        <f>IF(RiskRegister[[#This Row],[Residual Risk Rating (Numeric)]]&gt;
   IF(RiskRegister[[#This Row],[Risk Appetite Threshold]]="Low",1,
      IF(RiskRegister[[#This Row],[Risk Appetite Threshold]]="Medium",2,3)),
"Exceeds Appetite","Within Appetite")</f>
        <v>Within Appetite</v>
      </c>
      <c r="R4" s="8" t="s">
        <v>60</v>
      </c>
      <c r="S4" s="23" t="str">
        <f>IF(RiskRegister[[#This Row],[Residual Risk vs Appetite]]="Exceeds Appetite","Yes","No")</f>
        <v>No</v>
      </c>
      <c r="T4" s="8" t="str">
        <f>IF(RiskRegister[[#This Row],[Escalation Required]]="Yes",RiskRegister[[#This Row],[Owner]],"")</f>
        <v/>
      </c>
      <c r="U4" s="8" t="str">
        <f>IF(RiskRegister[[#This Row],[Escalation Required]]="Yes","Open","")</f>
        <v/>
      </c>
      <c r="V4" s="8" t="s">
        <v>114</v>
      </c>
      <c r="W4" s="24">
        <v>46142</v>
      </c>
      <c r="X4" s="24">
        <v>46021</v>
      </c>
      <c r="Y4" s="19" t="s">
        <v>53</v>
      </c>
      <c r="Z4" s="2"/>
    </row>
    <row r="5" spans="1:26" ht="28.8">
      <c r="A5" s="19" t="s">
        <v>12</v>
      </c>
      <c r="B5" s="17" t="s">
        <v>22</v>
      </c>
      <c r="C5" s="20">
        <v>4</v>
      </c>
      <c r="D5" s="20">
        <v>5</v>
      </c>
      <c r="E5" s="20">
        <f>RiskRegister[[#This Row],[Likelihood]]*RiskRegister[[#This Row],[Impact]]</f>
        <v>20</v>
      </c>
      <c r="F5" s="21">
        <f>IF(RiskRegister[[#This Row],[Risk Score (Inherent)]]&gt;15,3,
 IF(RiskRegister[[#This Row],[Risk Score (Inherent)]]&gt;=8,2,1))</f>
        <v>3</v>
      </c>
      <c r="G5" s="21">
        <f>RiskRegister[[#This Row],[Risk Rating (Numeric)]]</f>
        <v>3</v>
      </c>
      <c r="H5" s="22" t="str">
        <f>CHOOSE(RiskRegister[[#This Row],[Risk Rating (Numeric)]],"Low","Medium","High")</f>
        <v>High</v>
      </c>
      <c r="I5" s="8" t="s">
        <v>49</v>
      </c>
      <c r="J5" s="8" t="s">
        <v>50</v>
      </c>
      <c r="K5" s="8" t="s">
        <v>29</v>
      </c>
      <c r="L5" s="6">
        <f>IF(RiskRegister[[#This Row],[Residual Risk]]="High",15,
 IF(RiskRegister[[#This Row],[Residual Risk]]="Medium",10,
 IF(RiskRegister[[#This Row],[Residual Risk]]="Low",5,"")))</f>
        <v>10</v>
      </c>
      <c r="M5" s="6">
        <f>IF(RiskRegister[[#This Row],[Residual Risk Score]]&gt;15,3,
 IF(RiskRegister[[#This Row],[Residual Risk Score]]&gt;=8,2,1))</f>
        <v>2</v>
      </c>
      <c r="N5" s="5">
        <f>RiskRegister[[#This Row],[Residual Risk Rating (Numeric)]]</f>
        <v>2</v>
      </c>
      <c r="O5" s="23" t="str">
        <f>CHOOSE(RiskRegister[[#This Row],[Residual Risk Rating (Numeric)]],"Low","Medium","High")</f>
        <v>Medium</v>
      </c>
      <c r="P5" s="8" t="s">
        <v>29</v>
      </c>
      <c r="Q5" s="23" t="str">
        <f>IF(RiskRegister[[#This Row],[Residual Risk Rating (Numeric)]]&gt;
   IF(RiskRegister[[#This Row],[Risk Appetite Threshold]]="Low",1,
      IF(RiskRegister[[#This Row],[Risk Appetite Threshold]]="Medium",2,3)),
"Exceeds Appetite","Within Appetite")</f>
        <v>Within Appetite</v>
      </c>
      <c r="R5" s="8" t="s">
        <v>60</v>
      </c>
      <c r="S5" s="23" t="str">
        <f>IF(RiskRegister[[#This Row],[Residual Risk vs Appetite]]="Exceeds Appetite","Yes","No")</f>
        <v>No</v>
      </c>
      <c r="T5" s="8" t="str">
        <f>IF(RiskRegister[[#This Row],[Escalation Required]]="Yes",RiskRegister[[#This Row],[Owner]],"")</f>
        <v/>
      </c>
      <c r="U5" s="8" t="str">
        <f>IF(RiskRegister[[#This Row],[Escalation Required]]="Yes","Open","")</f>
        <v/>
      </c>
      <c r="V5" s="8" t="s">
        <v>114</v>
      </c>
      <c r="W5" s="24">
        <v>46127</v>
      </c>
      <c r="X5" s="24">
        <v>46025</v>
      </c>
      <c r="Y5" s="19" t="s">
        <v>54</v>
      </c>
      <c r="Z5" s="2"/>
    </row>
    <row r="6" spans="1:26" ht="28.8">
      <c r="A6" s="19" t="s">
        <v>13</v>
      </c>
      <c r="B6" s="17" t="s">
        <v>23</v>
      </c>
      <c r="C6" s="20">
        <v>2</v>
      </c>
      <c r="D6" s="20">
        <v>5</v>
      </c>
      <c r="E6" s="20">
        <f>RiskRegister[[#This Row],[Likelihood]]*RiskRegister[[#This Row],[Impact]]</f>
        <v>10</v>
      </c>
      <c r="F6" s="21">
        <f>IF(RiskRegister[[#This Row],[Risk Score (Inherent)]]&gt;15,3,
 IF(RiskRegister[[#This Row],[Risk Score (Inherent)]]&gt;=8,2,1))</f>
        <v>2</v>
      </c>
      <c r="G6" s="21">
        <f>RiskRegister[[#This Row],[Risk Rating (Numeric)]]</f>
        <v>2</v>
      </c>
      <c r="H6" s="22" t="str">
        <f>CHOOSE(RiskRegister[[#This Row],[Risk Rating (Numeric)]],"Low","Medium","High")</f>
        <v>Medium</v>
      </c>
      <c r="I6" s="8" t="s">
        <v>51</v>
      </c>
      <c r="J6" s="8" t="s">
        <v>52</v>
      </c>
      <c r="K6" s="8" t="s">
        <v>30</v>
      </c>
      <c r="L6" s="6">
        <f>IF(RiskRegister[[#This Row],[Residual Risk]]="High",15,
 IF(RiskRegister[[#This Row],[Residual Risk]]="Medium",10,
 IF(RiskRegister[[#This Row],[Residual Risk]]="Low",5,"")))</f>
        <v>5</v>
      </c>
      <c r="M6" s="6">
        <f>IF(RiskRegister[[#This Row],[Residual Risk Score]]&gt;15,3,
 IF(RiskRegister[[#This Row],[Residual Risk Score]]&gt;=8,2,1))</f>
        <v>1</v>
      </c>
      <c r="N6" s="5">
        <f>RiskRegister[[#This Row],[Residual Risk Rating (Numeric)]]</f>
        <v>1</v>
      </c>
      <c r="O6" s="23" t="str">
        <f>CHOOSE(RiskRegister[[#This Row],[Residual Risk Rating (Numeric)]],"Low","Medium","High")</f>
        <v>Low</v>
      </c>
      <c r="P6" s="8" t="s">
        <v>30</v>
      </c>
      <c r="Q6" s="23" t="str">
        <f>IF(RiskRegister[[#This Row],[Residual Risk Rating (Numeric)]]&gt;
   IF(RiskRegister[[#This Row],[Risk Appetite Threshold]]="Low",1,
      IF(RiskRegister[[#This Row],[Risk Appetite Threshold]]="Medium",2,3)),
"Exceeds Appetite","Within Appetite")</f>
        <v>Within Appetite</v>
      </c>
      <c r="R6" s="8" t="s">
        <v>60</v>
      </c>
      <c r="S6" s="23" t="str">
        <f>IF(RiskRegister[[#This Row],[Residual Risk vs Appetite]]="Exceeds Appetite","Yes","No")</f>
        <v>No</v>
      </c>
      <c r="T6" s="8" t="str">
        <f>IF(RiskRegister[[#This Row],[Escalation Required]]="Yes",RiskRegister[[#This Row],[Owner]],"")</f>
        <v/>
      </c>
      <c r="V6" s="8" t="s">
        <v>114</v>
      </c>
      <c r="W6" s="24">
        <v>46265</v>
      </c>
      <c r="X6" s="24">
        <v>46021</v>
      </c>
      <c r="Y6" s="19" t="s">
        <v>55</v>
      </c>
      <c r="Z6" s="2"/>
    </row>
    <row r="7" spans="1:26" ht="28.8">
      <c r="A7" s="19" t="s">
        <v>14</v>
      </c>
      <c r="B7" s="17" t="s">
        <v>24</v>
      </c>
      <c r="C7" s="20">
        <v>4</v>
      </c>
      <c r="D7" s="20">
        <v>5</v>
      </c>
      <c r="E7" s="20">
        <f>RiskRegister[[#This Row],[Likelihood]]*RiskRegister[[#This Row],[Impact]]</f>
        <v>20</v>
      </c>
      <c r="F7" s="21">
        <f>IF(RiskRegister[[#This Row],[Risk Score (Inherent)]]&gt;15,3,
 IF(RiskRegister[[#This Row],[Risk Score (Inherent)]]&gt;=8,2,1))</f>
        <v>3</v>
      </c>
      <c r="G7" s="21">
        <f>RiskRegister[[#This Row],[Risk Rating (Numeric)]]</f>
        <v>3</v>
      </c>
      <c r="H7" s="22" t="str">
        <f>CHOOSE(RiskRegister[[#This Row],[Risk Rating (Numeric)]],"Low","Medium","High")</f>
        <v>High</v>
      </c>
      <c r="I7" s="8" t="s">
        <v>56</v>
      </c>
      <c r="J7" s="8" t="s">
        <v>43</v>
      </c>
      <c r="K7" s="8" t="s">
        <v>29</v>
      </c>
      <c r="L7" s="6">
        <f>IF(RiskRegister[[#This Row],[Residual Risk]]="High",15,
 IF(RiskRegister[[#This Row],[Residual Risk]]="Medium",10,
 IF(RiskRegister[[#This Row],[Residual Risk]]="Low",5,"")))</f>
        <v>10</v>
      </c>
      <c r="M7" s="6">
        <f>IF(RiskRegister[[#This Row],[Residual Risk Score]]&gt;15,3,
 IF(RiskRegister[[#This Row],[Residual Risk Score]]&gt;=8,2,1))</f>
        <v>2</v>
      </c>
      <c r="N7" s="5">
        <f>RiskRegister[[#This Row],[Residual Risk Rating (Numeric)]]</f>
        <v>2</v>
      </c>
      <c r="O7" s="23" t="str">
        <f>CHOOSE(RiskRegister[[#This Row],[Residual Risk Rating (Numeric)]],"Low","Medium","High")</f>
        <v>Medium</v>
      </c>
      <c r="P7" s="8" t="s">
        <v>29</v>
      </c>
      <c r="Q7" s="23" t="str">
        <f>IF(RiskRegister[[#This Row],[Residual Risk Rating (Numeric)]]&gt;
   IF(RiskRegister[[#This Row],[Risk Appetite Threshold]]="Low",1,
      IF(RiskRegister[[#This Row],[Risk Appetite Threshold]]="Medium",2,3)),
"Exceeds Appetite","Within Appetite")</f>
        <v>Within Appetite</v>
      </c>
      <c r="R7" s="8" t="s">
        <v>60</v>
      </c>
      <c r="S7" s="23" t="str">
        <f>IF(RiskRegister[[#This Row],[Residual Risk vs Appetite]]="Exceeds Appetite","Yes","No")</f>
        <v>No</v>
      </c>
      <c r="T7" s="8" t="str">
        <f>IF(RiskRegister[[#This Row],[Escalation Required]]="Yes",RiskRegister[[#This Row],[Owner]],"")</f>
        <v/>
      </c>
      <c r="U7" s="8" t="str">
        <f>IF(RiskRegister[[#This Row],[Escalation Required]]="Yes","Open","")</f>
        <v/>
      </c>
      <c r="V7" s="8" t="s">
        <v>114</v>
      </c>
      <c r="W7" s="24">
        <v>46112</v>
      </c>
      <c r="X7" s="24">
        <v>46024</v>
      </c>
      <c r="Y7" s="19" t="s">
        <v>64</v>
      </c>
      <c r="Z7" s="2"/>
    </row>
    <row r="8" spans="1:26" ht="28.8">
      <c r="A8" s="19" t="s">
        <v>15</v>
      </c>
      <c r="B8" s="17" t="s">
        <v>25</v>
      </c>
      <c r="C8" s="20">
        <v>4</v>
      </c>
      <c r="D8" s="20">
        <v>5</v>
      </c>
      <c r="E8" s="20">
        <f>RiskRegister[[#This Row],[Likelihood]]*RiskRegister[[#This Row],[Impact]]</f>
        <v>20</v>
      </c>
      <c r="F8" s="21">
        <f>IF(RiskRegister[[#This Row],[Risk Score (Inherent)]]&gt;15,3,
 IF(RiskRegister[[#This Row],[Risk Score (Inherent)]]&gt;=8,2,1))</f>
        <v>3</v>
      </c>
      <c r="G8" s="21">
        <f>RiskRegister[[#This Row],[Risk Rating (Numeric)]]</f>
        <v>3</v>
      </c>
      <c r="H8" s="22" t="str">
        <f>CHOOSE(RiskRegister[[#This Row],[Risk Rating (Numeric)]],"Low","Medium","High")</f>
        <v>High</v>
      </c>
      <c r="I8" s="8" t="s">
        <v>57</v>
      </c>
      <c r="J8" s="8" t="s">
        <v>58</v>
      </c>
      <c r="K8" s="8" t="s">
        <v>29</v>
      </c>
      <c r="L8" s="6">
        <f>IF(RiskRegister[[#This Row],[Residual Risk]]="High",15,
 IF(RiskRegister[[#This Row],[Residual Risk]]="Medium",10,
 IF(RiskRegister[[#This Row],[Residual Risk]]="Low",5,"")))</f>
        <v>10</v>
      </c>
      <c r="M8" s="6">
        <f>IF(RiskRegister[[#This Row],[Residual Risk Score]]&gt;15,3,
 IF(RiskRegister[[#This Row],[Residual Risk Score]]&gt;=8,2,1))</f>
        <v>2</v>
      </c>
      <c r="N8" s="5">
        <f>RiskRegister[[#This Row],[Residual Risk Rating (Numeric)]]</f>
        <v>2</v>
      </c>
      <c r="O8" s="23" t="str">
        <f>CHOOSE(RiskRegister[[#This Row],[Residual Risk Rating (Numeric)]],"Low","Medium","High")</f>
        <v>Medium</v>
      </c>
      <c r="P8" s="8" t="s">
        <v>30</v>
      </c>
      <c r="Q8" s="23" t="str">
        <f>IF(RiskRegister[[#This Row],[Residual Risk Rating (Numeric)]]&gt;
   IF(RiskRegister[[#This Row],[Risk Appetite Threshold]]="Low",1,
      IF(RiskRegister[[#This Row],[Risk Appetite Threshold]]="Medium",2,3)),
"Exceeds Appetite","Within Appetite")</f>
        <v>Exceeds Appetite</v>
      </c>
      <c r="R8" s="8" t="s">
        <v>112</v>
      </c>
      <c r="S8" s="23" t="str">
        <f>IF(RiskRegister[[#This Row],[Residual Risk vs Appetite]]="Exceeds Appetite","Yes","No")</f>
        <v>Yes</v>
      </c>
      <c r="T8" s="8" t="str">
        <f>IF(RiskRegister[[#This Row],[Escalation Required]]="Yes",RiskRegister[[#This Row],[Owner]],"")</f>
        <v>AI Officer</v>
      </c>
      <c r="U8" s="23" t="str">
        <f>IF(RiskRegister[[#This Row],[Escalation Required]]="Yes","Open","")</f>
        <v>Open</v>
      </c>
      <c r="V8" s="23" t="s">
        <v>114</v>
      </c>
      <c r="W8" s="24">
        <v>46081</v>
      </c>
      <c r="X8" s="24">
        <v>46028</v>
      </c>
      <c r="Y8" s="19" t="s">
        <v>65</v>
      </c>
      <c r="Z8" s="2"/>
    </row>
    <row r="9" spans="1:26" ht="28.8">
      <c r="A9" s="19" t="s">
        <v>16</v>
      </c>
      <c r="B9" s="17" t="s">
        <v>26</v>
      </c>
      <c r="C9" s="20">
        <v>2</v>
      </c>
      <c r="D9" s="20">
        <v>5</v>
      </c>
      <c r="E9" s="20">
        <f>RiskRegister[[#This Row],[Likelihood]]*RiskRegister[[#This Row],[Impact]]</f>
        <v>10</v>
      </c>
      <c r="F9" s="21">
        <f>IF(RiskRegister[[#This Row],[Risk Score (Inherent)]]&gt;15,3,
 IF(RiskRegister[[#This Row],[Risk Score (Inherent)]]&gt;=8,2,1))</f>
        <v>2</v>
      </c>
      <c r="G9" s="21">
        <f>RiskRegister[[#This Row],[Risk Rating (Numeric)]]</f>
        <v>2</v>
      </c>
      <c r="H9" s="22" t="str">
        <f>CHOOSE(RiskRegister[[#This Row],[Risk Rating (Numeric)]],"Low","Medium","High")</f>
        <v>Medium</v>
      </c>
      <c r="I9" s="8" t="s">
        <v>59</v>
      </c>
      <c r="J9" s="8" t="s">
        <v>60</v>
      </c>
      <c r="K9" s="8" t="s">
        <v>30</v>
      </c>
      <c r="L9" s="6">
        <f>IF(RiskRegister[[#This Row],[Residual Risk]]="High",15,
 IF(RiskRegister[[#This Row],[Residual Risk]]="Medium",10,
 IF(RiskRegister[[#This Row],[Residual Risk]]="Low",5,"")))</f>
        <v>5</v>
      </c>
      <c r="M9" s="6">
        <f>IF(RiskRegister[[#This Row],[Residual Risk Score]]&gt;15,3,
 IF(RiskRegister[[#This Row],[Residual Risk Score]]&gt;=8,2,1))</f>
        <v>1</v>
      </c>
      <c r="N9" s="5">
        <f>RiskRegister[[#This Row],[Residual Risk Rating (Numeric)]]</f>
        <v>1</v>
      </c>
      <c r="O9" s="23" t="str">
        <f>CHOOSE(RiskRegister[[#This Row],[Residual Risk Rating (Numeric)]],"Low","Medium","High")</f>
        <v>Low</v>
      </c>
      <c r="P9" s="8" t="s">
        <v>29</v>
      </c>
      <c r="Q9" s="23" t="str">
        <f>IF(RiskRegister[[#This Row],[Residual Risk Rating (Numeric)]]&gt;
   IF(RiskRegister[[#This Row],[Risk Appetite Threshold]]="Low",1,
      IF(RiskRegister[[#This Row],[Risk Appetite Threshold]]="Medium",2,3)),
"Exceeds Appetite","Within Appetite")</f>
        <v>Within Appetite</v>
      </c>
      <c r="R9" s="8" t="s">
        <v>60</v>
      </c>
      <c r="S9" s="23" t="str">
        <f>IF(RiskRegister[[#This Row],[Residual Risk vs Appetite]]="Exceeds Appetite","Yes","No")</f>
        <v>No</v>
      </c>
      <c r="T9" s="8" t="str">
        <f>IF(RiskRegister[[#This Row],[Escalation Required]]="Yes",RiskRegister[[#This Row],[Owner]],"")</f>
        <v/>
      </c>
      <c r="U9" s="8" t="str">
        <f>IF(RiskRegister[[#This Row],[Escalation Required]]="Yes","Open","")</f>
        <v/>
      </c>
      <c r="V9" s="8" t="s">
        <v>114</v>
      </c>
      <c r="W9" s="24">
        <v>46142</v>
      </c>
      <c r="X9" s="24">
        <v>46021</v>
      </c>
      <c r="Y9" s="19" t="s">
        <v>66</v>
      </c>
      <c r="Z9" s="2"/>
    </row>
    <row r="10" spans="1:26" ht="28.8">
      <c r="A10" s="19" t="s">
        <v>17</v>
      </c>
      <c r="B10" s="17" t="s">
        <v>27</v>
      </c>
      <c r="C10" s="20">
        <v>3</v>
      </c>
      <c r="D10" s="20">
        <v>4</v>
      </c>
      <c r="E10" s="20">
        <f>RiskRegister[[#This Row],[Likelihood]]*RiskRegister[[#This Row],[Impact]]</f>
        <v>12</v>
      </c>
      <c r="F10" s="21">
        <f>IF(RiskRegister[[#This Row],[Risk Score (Inherent)]]&gt;15,3,
 IF(RiskRegister[[#This Row],[Risk Score (Inherent)]]&gt;=8,2,1))</f>
        <v>2</v>
      </c>
      <c r="G10" s="21">
        <f>RiskRegister[[#This Row],[Risk Rating (Numeric)]]</f>
        <v>2</v>
      </c>
      <c r="H10" s="22" t="str">
        <f>CHOOSE(RiskRegister[[#This Row],[Risk Rating (Numeric)]],"Low","Medium","High")</f>
        <v>Medium</v>
      </c>
      <c r="I10" s="8" t="s">
        <v>61</v>
      </c>
      <c r="J10" s="8" t="s">
        <v>62</v>
      </c>
      <c r="K10" s="8" t="s">
        <v>29</v>
      </c>
      <c r="L10" s="6">
        <f>IF(RiskRegister[[#This Row],[Residual Risk]]="High",15,
 IF(RiskRegister[[#This Row],[Residual Risk]]="Medium",10,
 IF(RiskRegister[[#This Row],[Residual Risk]]="Low",5,"")))</f>
        <v>10</v>
      </c>
      <c r="M10" s="6">
        <f>IF(RiskRegister[[#This Row],[Residual Risk Score]]&gt;15,3,
 IF(RiskRegister[[#This Row],[Residual Risk Score]]&gt;=8,2,1))</f>
        <v>2</v>
      </c>
      <c r="N10" s="5">
        <f>RiskRegister[[#This Row],[Residual Risk Rating (Numeric)]]</f>
        <v>2</v>
      </c>
      <c r="O10" s="23" t="str">
        <f>CHOOSE(RiskRegister[[#This Row],[Residual Risk Rating (Numeric)]],"Low","Medium","High")</f>
        <v>Medium</v>
      </c>
      <c r="P10" s="8" t="s">
        <v>29</v>
      </c>
      <c r="Q10" s="23" t="str">
        <f>IF(RiskRegister[[#This Row],[Residual Risk Rating (Numeric)]]&gt;
   IF(RiskRegister[[#This Row],[Risk Appetite Threshold]]="Low",1,
      IF(RiskRegister[[#This Row],[Risk Appetite Threshold]]="Medium",2,3)),
"Exceeds Appetite","Within Appetite")</f>
        <v>Within Appetite</v>
      </c>
      <c r="R10" s="8" t="s">
        <v>60</v>
      </c>
      <c r="S10" s="23" t="str">
        <f>IF(RiskRegister[[#This Row],[Residual Risk vs Appetite]]="Exceeds Appetite","Yes","No")</f>
        <v>No</v>
      </c>
      <c r="T10" s="8" t="str">
        <f>IF(RiskRegister[[#This Row],[Escalation Required]]="Yes",RiskRegister[[#This Row],[Owner]],"")</f>
        <v/>
      </c>
      <c r="U10" s="8" t="str">
        <f>IF(RiskRegister[[#This Row],[Escalation Required]]="Yes","Open","")</f>
        <v/>
      </c>
      <c r="V10" s="8" t="s">
        <v>114</v>
      </c>
      <c r="W10" s="24">
        <v>46203</v>
      </c>
      <c r="X10" s="24">
        <v>46021</v>
      </c>
      <c r="Y10" s="19" t="s">
        <v>68</v>
      </c>
      <c r="Z10" s="2"/>
    </row>
    <row r="11" spans="1:26" ht="28.8">
      <c r="A11" s="19" t="s">
        <v>18</v>
      </c>
      <c r="B11" s="17" t="s">
        <v>28</v>
      </c>
      <c r="C11" s="20">
        <v>4</v>
      </c>
      <c r="D11" s="20">
        <v>5</v>
      </c>
      <c r="E11" s="20">
        <f>RiskRegister[[#This Row],[Likelihood]]*RiskRegister[[#This Row],[Impact]]</f>
        <v>20</v>
      </c>
      <c r="F11" s="21">
        <f>IF(RiskRegister[[#This Row],[Risk Score (Inherent)]]&gt;15,3,
 IF(RiskRegister[[#This Row],[Risk Score (Inherent)]]&gt;=8,2,1))</f>
        <v>3</v>
      </c>
      <c r="G11" s="21">
        <f>RiskRegister[[#This Row],[Risk Rating (Numeric)]]</f>
        <v>3</v>
      </c>
      <c r="H11" s="22" t="str">
        <f>CHOOSE(RiskRegister[[#This Row],[Risk Rating (Numeric)]],"Low","Medium","High")</f>
        <v>High</v>
      </c>
      <c r="I11" s="8" t="s">
        <v>63</v>
      </c>
      <c r="J11" s="8" t="s">
        <v>58</v>
      </c>
      <c r="K11" s="8" t="s">
        <v>29</v>
      </c>
      <c r="L11" s="6">
        <f>IF(RiskRegister[[#This Row],[Residual Risk]]="High",15,
 IF(RiskRegister[[#This Row],[Residual Risk]]="Medium",10,
 IF(RiskRegister[[#This Row],[Residual Risk]]="Low",5,"")))</f>
        <v>10</v>
      </c>
      <c r="M11" s="6">
        <f>IF(RiskRegister[[#This Row],[Residual Risk Score]]&gt;15,3,
 IF(RiskRegister[[#This Row],[Residual Risk Score]]&gt;=8,2,1))</f>
        <v>2</v>
      </c>
      <c r="N11" s="5">
        <f>RiskRegister[[#This Row],[Residual Risk Rating (Numeric)]]</f>
        <v>2</v>
      </c>
      <c r="O11" s="23" t="str">
        <f>CHOOSE(RiskRegister[[#This Row],[Residual Risk Rating (Numeric)]],"Low","Medium","High")</f>
        <v>Medium</v>
      </c>
      <c r="P11" s="8" t="s">
        <v>30</v>
      </c>
      <c r="Q11" s="23" t="str">
        <f>IF(RiskRegister[[#This Row],[Residual Risk Rating (Numeric)]]&gt;
   IF(RiskRegister[[#This Row],[Risk Appetite Threshold]]="Low",1,
      IF(RiskRegister[[#This Row],[Risk Appetite Threshold]]="Medium",2,3)),
"Exceeds Appetite","Within Appetite")</f>
        <v>Exceeds Appetite</v>
      </c>
      <c r="R11" s="8" t="s">
        <v>112</v>
      </c>
      <c r="S11" s="23" t="str">
        <f>IF(RiskRegister[[#This Row],[Residual Risk vs Appetite]]="Exceeds Appetite","Yes","No")</f>
        <v>Yes</v>
      </c>
      <c r="T11" s="8" t="str">
        <f>IF(RiskRegister[[#This Row],[Escalation Required]]="Yes",RiskRegister[[#This Row],[Owner]],"")</f>
        <v>AI Officer</v>
      </c>
      <c r="U11" s="23" t="str">
        <f>IF(RiskRegister[[#This Row],[Escalation Required]]="Yes","Open","")</f>
        <v>Open</v>
      </c>
      <c r="V11" s="23" t="s">
        <v>114</v>
      </c>
      <c r="W11" s="24">
        <v>46068</v>
      </c>
      <c r="X11" s="24">
        <v>46027</v>
      </c>
      <c r="Y11" s="19" t="s">
        <v>67</v>
      </c>
      <c r="Z11" s="2"/>
    </row>
    <row r="12" spans="1:26">
      <c r="A12" s="19"/>
      <c r="C12" s="20"/>
      <c r="D12" s="20"/>
      <c r="E12" s="20"/>
      <c r="F12" s="21"/>
      <c r="G12" s="22"/>
      <c r="H12" s="22"/>
      <c r="L12" s="6"/>
      <c r="M12" s="6"/>
      <c r="O12" s="23"/>
      <c r="Q12" s="23"/>
      <c r="S12" s="23"/>
      <c r="U12" s="23"/>
      <c r="V12" s="23"/>
      <c r="W12" s="24"/>
      <c r="X12" s="24"/>
      <c r="Y12" s="19"/>
    </row>
  </sheetData>
  <sheetProtection algorithmName="SHA-512" hashValue="9JYW8gWLCsQKmPLeRODGz6BgqXTf2cC0nmICwkYN+U26ERZSv5yD5jqdhI2k/zyS0bZDUrZTpcKKEzkfQ04A5A==" saltValue="pRqgXTHE1m9HQ55X52caKA==" spinCount="100000" sheet="1" objects="1" scenarios="1" selectLockedCells="1" selectUnlockedCells="1"/>
  <phoneticPr fontId="2" type="noConversion"/>
  <conditionalFormatting sqref="C2:D1048576">
    <cfRule type="cellIs" dxfId="26" priority="37" operator="between">
      <formula>4</formula>
      <formula>5</formula>
    </cfRule>
    <cfRule type="cellIs" dxfId="25" priority="38" operator="equal">
      <formula>3</formula>
    </cfRule>
    <cfRule type="cellIs" dxfId="24" priority="39" operator="between">
      <formula>1</formula>
      <formula>2</formula>
    </cfRule>
  </conditionalFormatting>
  <conditionalFormatting sqref="E1:E1048576">
    <cfRule type="colorScale" priority="36">
      <colorScale>
        <cfvo type="num" val="1"/>
        <cfvo type="num" val="8"/>
        <cfvo type="num" val="25"/>
        <color rgb="FF007A3D"/>
        <color rgb="FFFFD500"/>
        <color rgb="FFD32F2F"/>
      </colorScale>
    </cfRule>
  </conditionalFormatting>
  <conditionalFormatting sqref="G1:G1048576">
    <cfRule type="iconSet" priority="9">
      <iconSet showValue="0" reverse="1">
        <cfvo type="percent" val="0"/>
        <cfvo type="num" val="2"/>
        <cfvo type="num" val="3"/>
      </iconSet>
    </cfRule>
  </conditionalFormatting>
  <conditionalFormatting sqref="N1:N1048576">
    <cfRule type="iconSet" priority="28">
      <iconSet showValue="0" reverse="1">
        <cfvo type="percent" val="0"/>
        <cfvo type="num" val="2"/>
        <cfvo type="num" val="3"/>
      </iconSet>
    </cfRule>
  </conditionalFormatting>
  <conditionalFormatting sqref="O1:O1048576">
    <cfRule type="cellIs" dxfId="23" priority="17" operator="equal">
      <formula>"Low"</formula>
    </cfRule>
    <cfRule type="cellIs" dxfId="22" priority="18" operator="equal">
      <formula>"High"</formula>
    </cfRule>
    <cfRule type="cellIs" dxfId="21" priority="19" operator="equal">
      <formula>"Medium"</formula>
    </cfRule>
  </conditionalFormatting>
  <conditionalFormatting sqref="Q1:Q1048576">
    <cfRule type="cellIs" dxfId="20" priority="14" operator="equal">
      <formula>"Exceeds Appetite"</formula>
    </cfRule>
    <cfRule type="cellIs" dxfId="19" priority="16" operator="equal">
      <formula>"Within Appetite"</formula>
    </cfRule>
  </conditionalFormatting>
  <conditionalFormatting sqref="R1">
    <cfRule type="cellIs" dxfId="18" priority="10" operator="equal">
      <formula>"Exceeds Appetite"</formula>
    </cfRule>
    <cfRule type="cellIs" dxfId="17" priority="11" operator="equal">
      <formula>"Within Appetite"</formula>
    </cfRule>
  </conditionalFormatting>
  <conditionalFormatting sqref="S1:S1048576">
    <cfRule type="cellIs" dxfId="16" priority="13" operator="equal">
      <formula>"Yes"</formula>
    </cfRule>
    <cfRule type="cellIs" dxfId="15" priority="15" operator="equal">
      <formula>"No"</formula>
    </cfRule>
  </conditionalFormatting>
  <conditionalFormatting sqref="U1:U1048576">
    <cfRule type="cellIs" dxfId="14" priority="2" operator="equal">
      <formula>"Resolved"</formula>
    </cfRule>
    <cfRule type="cellIs" dxfId="13" priority="3" operator="equal">
      <formula>"In Progress"</formula>
    </cfRule>
  </conditionalFormatting>
  <conditionalFormatting sqref="U1:V1048576">
    <cfRule type="cellIs" dxfId="12" priority="1" operator="equal">
      <formula>"Open"</formula>
    </cfRule>
    <cfRule type="cellIs" dxfId="11" priority="12" operator="equal">
      <formula>"Not Required"</formula>
    </cfRule>
  </conditionalFormatting>
  <conditionalFormatting sqref="V1:V1048576">
    <cfRule type="cellIs" dxfId="10" priority="5" operator="equal">
      <formula>"Closed"</formula>
    </cfRule>
    <cfRule type="cellIs" dxfId="9" priority="6" operator="equal">
      <formula>"Accepted"</formula>
    </cfRule>
    <cfRule type="cellIs" dxfId="8" priority="7" operator="equal">
      <formula>"Mitigated"</formula>
    </cfRule>
    <cfRule type="cellIs" dxfId="7" priority="8" operator="equal">
      <formula>"Transferred"</formula>
    </cfRule>
  </conditionalFormatting>
  <conditionalFormatting sqref="Z1 Z3:Z1048576">
    <cfRule type="iconSet" priority="44">
      <iconSet reverse="1">
        <cfvo type="percent" val="0"/>
        <cfvo type="num" val="8"/>
        <cfvo type="num" val="15" gte="0"/>
      </iconSet>
    </cfRule>
  </conditionalFormatting>
  <dataValidations count="6">
    <dataValidation type="list" allowBlank="1" showInputMessage="1" showErrorMessage="1" error="Select Low, Medium, or High only" sqref="K2:K12 P2:P1048576" xr:uid="{A37A1DD9-8B3E-4301-9ABE-3144618FF086}">
      <formula1>"Low,Medium,High"</formula1>
    </dataValidation>
    <dataValidation type="list" allowBlank="1" showInputMessage="1" showErrorMessage="1" sqref="K13:K1048576" xr:uid="{96FED859-04CF-4FDF-86D4-10D151A02720}">
      <formula1>"Low,Medium,High"</formula1>
    </dataValidation>
    <dataValidation type="list" allowBlank="1" showInputMessage="1" showErrorMessage="1" sqref="U12:U1048576 V12:V1048576" xr:uid="{5631FE8E-19F8-4A24-BC95-ED00C514595E}">
      <formula1>"Open,In Progress,Mitigated,Accepted,Closed"</formula1>
    </dataValidation>
    <dataValidation allowBlank="1" showInputMessage="1" showErrorMessage="1" errorTitle="Escalation Owner Required" error="Escalation Owner must be specified when Escalation Required is set to “Yes”." sqref="T2:T11" xr:uid="{0CFA24FD-EFDC-48D0-B217-88351A2BAEF4}"/>
    <dataValidation type="list" allowBlank="1" showInputMessage="1" showErrorMessage="1" sqref="V2:V11" xr:uid="{D07AEFA7-044C-4888-B12B-DA05AFC5DA79}">
      <formula1>"Open,Mitigated,Accepted,Transferred,Closed"</formula1>
    </dataValidation>
    <dataValidation type="list" allowBlank="1" showInputMessage="1" showErrorMessage="1" errorTitle="Escalation Status Required" error="Escalation Status must be selected when Escalation Required is set to “Yes”." sqref="U2:U11" xr:uid="{B2B10188-4377-4F96-96C2-DDEEF82ED829}">
      <formula1>"Open,In Review,Approved,Rejected,Closed"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721C2-826F-410B-B8B1-CA0329BAFB03}">
  <dimension ref="A1:Y37"/>
  <sheetViews>
    <sheetView zoomScale="78" zoomScaleNormal="78" workbookViewId="0">
      <selection activeCell="A39" sqref="A39:E52"/>
    </sheetView>
  </sheetViews>
  <sheetFormatPr defaultRowHeight="14.4"/>
  <cols>
    <col min="1" max="6" width="20.77734375" style="1" customWidth="1"/>
    <col min="7" max="7" width="8.88671875" style="1"/>
    <col min="8" max="8" width="13" style="1" customWidth="1"/>
    <col min="9" max="9" width="16.44140625" style="1" customWidth="1"/>
    <col min="10" max="10" width="27.88671875" style="1" customWidth="1"/>
    <col min="11" max="11" width="8.88671875" style="1"/>
    <col min="12" max="12" width="13" style="1" customWidth="1"/>
    <col min="13" max="13" width="16.44140625" style="1" customWidth="1"/>
    <col min="14" max="14" width="27.88671875" style="1" customWidth="1"/>
    <col min="15" max="19" width="20.77734375" style="1" customWidth="1"/>
    <col min="20" max="20" width="8.88671875" style="1"/>
    <col min="21" max="21" width="4.6640625" style="1" bestFit="1" customWidth="1"/>
    <col min="22" max="22" width="6.44140625" style="1" hidden="1" customWidth="1"/>
    <col min="23" max="23" width="6.44140625" style="1" customWidth="1"/>
    <col min="24" max="24" width="11.33203125" style="1" bestFit="1" customWidth="1"/>
    <col min="25" max="25" width="22.88671875" style="1" bestFit="1" customWidth="1"/>
    <col min="26" max="16384" width="8.88671875" style="1"/>
  </cols>
  <sheetData>
    <row r="1" spans="1:25" ht="18">
      <c r="A1" s="35" t="s">
        <v>106</v>
      </c>
      <c r="B1" s="36"/>
      <c r="C1" s="36"/>
      <c r="D1" s="36"/>
      <c r="E1" s="36"/>
      <c r="F1" s="36"/>
    </row>
    <row r="2" spans="1:25" s="8" customFormat="1">
      <c r="A2" s="10" t="s">
        <v>71</v>
      </c>
      <c r="B2" s="10" t="s">
        <v>72</v>
      </c>
      <c r="C2" s="10" t="s">
        <v>73</v>
      </c>
      <c r="D2" s="10" t="s">
        <v>74</v>
      </c>
      <c r="E2" s="10" t="s">
        <v>147</v>
      </c>
      <c r="F2" s="10" t="s">
        <v>98</v>
      </c>
    </row>
    <row r="3" spans="1:25" ht="28.8">
      <c r="A3" s="11" t="s">
        <v>75</v>
      </c>
      <c r="B3" s="5" t="s">
        <v>76</v>
      </c>
      <c r="C3" s="12" t="s">
        <v>77</v>
      </c>
      <c r="D3" s="12" t="s">
        <v>78</v>
      </c>
      <c r="E3" s="5">
        <v>3</v>
      </c>
      <c r="F3" s="5">
        <f>E3</f>
        <v>3</v>
      </c>
    </row>
    <row r="4" spans="1:25" ht="28.8">
      <c r="A4" s="11" t="s">
        <v>29</v>
      </c>
      <c r="B4" s="13" t="s">
        <v>79</v>
      </c>
      <c r="C4" s="12" t="s">
        <v>109</v>
      </c>
      <c r="D4" s="12" t="s">
        <v>80</v>
      </c>
      <c r="E4" s="5">
        <v>2</v>
      </c>
      <c r="F4" s="5">
        <f>E4</f>
        <v>2</v>
      </c>
    </row>
    <row r="5" spans="1:25">
      <c r="A5" s="11" t="s">
        <v>30</v>
      </c>
      <c r="B5" s="5" t="s">
        <v>81</v>
      </c>
      <c r="C5" s="12" t="s">
        <v>82</v>
      </c>
      <c r="D5" s="12" t="s">
        <v>83</v>
      </c>
      <c r="E5" s="5">
        <v>1</v>
      </c>
      <c r="F5" s="5">
        <f>E5</f>
        <v>1</v>
      </c>
    </row>
    <row r="6" spans="1:25">
      <c r="A6" s="14"/>
      <c r="B6" s="33"/>
      <c r="C6" s="33"/>
      <c r="D6" s="33"/>
      <c r="E6" s="33"/>
      <c r="F6" s="33"/>
    </row>
    <row r="7" spans="1:25">
      <c r="A7" s="33"/>
      <c r="B7" s="33"/>
      <c r="C7" s="33"/>
      <c r="D7" s="33"/>
      <c r="E7" s="33"/>
      <c r="F7" s="33"/>
    </row>
    <row r="8" spans="1:25">
      <c r="H8" s="15"/>
    </row>
    <row r="9" spans="1:25" ht="18">
      <c r="A9" s="46" t="s">
        <v>84</v>
      </c>
      <c r="B9" s="47"/>
      <c r="C9" s="47"/>
      <c r="D9" s="47"/>
      <c r="E9" s="47"/>
      <c r="F9" s="47"/>
      <c r="H9" s="37" t="s">
        <v>128</v>
      </c>
      <c r="I9" s="38"/>
      <c r="J9" s="38"/>
      <c r="L9" s="37" t="s">
        <v>129</v>
      </c>
      <c r="M9" s="38"/>
      <c r="N9" s="38"/>
      <c r="V9" s="34"/>
      <c r="W9" s="34"/>
      <c r="X9" s="34"/>
      <c r="Y9" s="34"/>
    </row>
    <row r="10" spans="1:25" ht="28.2" customHeight="1">
      <c r="A10" s="3" t="s">
        <v>85</v>
      </c>
      <c r="B10" s="3">
        <v>1</v>
      </c>
      <c r="C10" s="3">
        <v>2</v>
      </c>
      <c r="D10" s="3">
        <v>3</v>
      </c>
      <c r="E10" s="3">
        <v>4</v>
      </c>
      <c r="F10" s="3">
        <v>5</v>
      </c>
      <c r="H10" s="28" t="s">
        <v>115</v>
      </c>
      <c r="I10" s="28" t="s">
        <v>116</v>
      </c>
      <c r="J10" s="3" t="s">
        <v>117</v>
      </c>
      <c r="L10" s="3" t="s">
        <v>115</v>
      </c>
      <c r="M10" s="3" t="s">
        <v>116</v>
      </c>
      <c r="N10" s="3" t="s">
        <v>1</v>
      </c>
    </row>
    <row r="11" spans="1:25" ht="25.95" customHeight="1">
      <c r="A11" s="3">
        <v>5</v>
      </c>
      <c r="B11" s="29">
        <v>5</v>
      </c>
      <c r="C11" s="29">
        <v>10</v>
      </c>
      <c r="D11" s="29">
        <v>15</v>
      </c>
      <c r="E11" s="29">
        <v>20</v>
      </c>
      <c r="F11" s="29">
        <v>25</v>
      </c>
      <c r="H11" s="5">
        <v>1</v>
      </c>
      <c r="I11" s="4" t="s">
        <v>118</v>
      </c>
      <c r="J11" s="4" t="s">
        <v>119</v>
      </c>
      <c r="K11" s="8"/>
      <c r="L11" s="5">
        <v>1</v>
      </c>
      <c r="M11" s="4" t="s">
        <v>130</v>
      </c>
      <c r="N11" s="4" t="s">
        <v>131</v>
      </c>
      <c r="S11" s="8"/>
      <c r="T11" s="8"/>
      <c r="U11" s="8"/>
    </row>
    <row r="12" spans="1:25" ht="25.95" customHeight="1">
      <c r="A12" s="3">
        <v>4</v>
      </c>
      <c r="B12" s="29">
        <v>4</v>
      </c>
      <c r="C12" s="29">
        <v>8</v>
      </c>
      <c r="D12" s="29">
        <v>12</v>
      </c>
      <c r="E12" s="29">
        <v>16</v>
      </c>
      <c r="F12" s="29">
        <v>20</v>
      </c>
      <c r="H12" s="5">
        <v>2</v>
      </c>
      <c r="I12" s="4" t="s">
        <v>120</v>
      </c>
      <c r="J12" s="4" t="s">
        <v>121</v>
      </c>
      <c r="K12" s="8"/>
      <c r="L12" s="5">
        <v>2</v>
      </c>
      <c r="M12" s="4" t="s">
        <v>132</v>
      </c>
      <c r="N12" s="4" t="s">
        <v>133</v>
      </c>
      <c r="S12" s="8"/>
      <c r="T12" s="8"/>
      <c r="U12" s="8"/>
    </row>
    <row r="13" spans="1:25" ht="25.95" customHeight="1">
      <c r="A13" s="3">
        <v>3</v>
      </c>
      <c r="B13" s="29">
        <v>3</v>
      </c>
      <c r="C13" s="29">
        <v>6</v>
      </c>
      <c r="D13" s="29">
        <v>9</v>
      </c>
      <c r="E13" s="29">
        <v>12</v>
      </c>
      <c r="F13" s="29">
        <v>15</v>
      </c>
      <c r="H13" s="5">
        <v>3</v>
      </c>
      <c r="I13" s="4" t="s">
        <v>122</v>
      </c>
      <c r="J13" s="4" t="s">
        <v>123</v>
      </c>
      <c r="K13" s="8"/>
      <c r="L13" s="5">
        <v>3</v>
      </c>
      <c r="M13" s="4" t="s">
        <v>134</v>
      </c>
      <c r="N13" s="4" t="s">
        <v>135</v>
      </c>
      <c r="S13" s="8"/>
      <c r="T13" s="8"/>
      <c r="U13" s="8"/>
    </row>
    <row r="14" spans="1:25" ht="25.95" customHeight="1">
      <c r="A14" s="3">
        <v>2</v>
      </c>
      <c r="B14" s="29">
        <v>2</v>
      </c>
      <c r="C14" s="29">
        <v>4</v>
      </c>
      <c r="D14" s="29">
        <v>6</v>
      </c>
      <c r="E14" s="29">
        <v>8</v>
      </c>
      <c r="F14" s="29">
        <v>10</v>
      </c>
      <c r="H14" s="5">
        <v>4</v>
      </c>
      <c r="I14" s="4" t="s">
        <v>124</v>
      </c>
      <c r="J14" s="4" t="s">
        <v>125</v>
      </c>
      <c r="K14" s="8"/>
      <c r="L14" s="5">
        <v>4</v>
      </c>
      <c r="M14" s="4" t="s">
        <v>136</v>
      </c>
      <c r="N14" s="4" t="s">
        <v>137</v>
      </c>
      <c r="S14" s="8"/>
      <c r="T14" s="8"/>
      <c r="U14" s="8"/>
    </row>
    <row r="15" spans="1:25" ht="25.95" customHeight="1">
      <c r="A15" s="3">
        <v>1</v>
      </c>
      <c r="B15" s="29">
        <v>1</v>
      </c>
      <c r="C15" s="29">
        <v>2</v>
      </c>
      <c r="D15" s="29">
        <v>3</v>
      </c>
      <c r="E15" s="29">
        <v>4</v>
      </c>
      <c r="F15" s="29">
        <v>5</v>
      </c>
      <c r="H15" s="5">
        <v>5</v>
      </c>
      <c r="I15" s="4" t="s">
        <v>126</v>
      </c>
      <c r="J15" s="4" t="s">
        <v>127</v>
      </c>
      <c r="K15" s="8"/>
      <c r="L15" s="5">
        <v>5</v>
      </c>
      <c r="M15" s="4" t="s">
        <v>138</v>
      </c>
      <c r="N15" s="4" t="s">
        <v>139</v>
      </c>
      <c r="S15" s="8"/>
      <c r="T15" s="8"/>
      <c r="U15" s="8"/>
    </row>
    <row r="16" spans="1:25" ht="19.95" customHeight="1">
      <c r="K16" s="8"/>
      <c r="L16" s="8"/>
      <c r="M16" s="8"/>
      <c r="S16" s="8"/>
      <c r="T16" s="8"/>
      <c r="U16" s="8"/>
    </row>
    <row r="19" spans="1:13" ht="18">
      <c r="A19" s="46" t="s">
        <v>86</v>
      </c>
      <c r="B19" s="47"/>
      <c r="C19" s="47"/>
      <c r="D19" s="47"/>
      <c r="E19" s="47"/>
    </row>
    <row r="20" spans="1:13" ht="28.8">
      <c r="A20" s="20" t="s">
        <v>87</v>
      </c>
      <c r="B20" s="20" t="s">
        <v>34</v>
      </c>
      <c r="C20" s="27" t="s">
        <v>35</v>
      </c>
      <c r="D20" s="20" t="s">
        <v>140</v>
      </c>
      <c r="E20" s="20" t="s">
        <v>88</v>
      </c>
      <c r="H20" s="41" t="s">
        <v>148</v>
      </c>
      <c r="I20" s="42"/>
      <c r="J20" s="42"/>
      <c r="K20" s="42"/>
      <c r="L20" s="42"/>
      <c r="M20" s="42"/>
    </row>
    <row r="21" spans="1:13" ht="43.2">
      <c r="A21" s="9" t="s">
        <v>89</v>
      </c>
      <c r="B21" s="25" t="s">
        <v>90</v>
      </c>
      <c r="C21" s="26" t="s">
        <v>91</v>
      </c>
      <c r="D21" s="32" t="s">
        <v>141</v>
      </c>
      <c r="E21" s="30" t="s">
        <v>92</v>
      </c>
      <c r="H21" s="42"/>
      <c r="I21" s="42"/>
      <c r="J21" s="42"/>
      <c r="K21" s="42"/>
      <c r="L21" s="42"/>
      <c r="M21" s="42"/>
    </row>
    <row r="22" spans="1:13" ht="28.8">
      <c r="A22" s="9" t="s">
        <v>93</v>
      </c>
      <c r="B22" s="25" t="s">
        <v>94</v>
      </c>
      <c r="C22" s="26" t="s">
        <v>95</v>
      </c>
      <c r="D22" s="31" t="s">
        <v>142</v>
      </c>
      <c r="E22" s="30" t="s">
        <v>96</v>
      </c>
      <c r="H22" s="42"/>
      <c r="I22" s="42"/>
      <c r="J22" s="42"/>
      <c r="K22" s="42"/>
      <c r="L22" s="42"/>
      <c r="M22" s="42"/>
    </row>
    <row r="23" spans="1:13">
      <c r="A23" s="44" t="s">
        <v>107</v>
      </c>
      <c r="B23" s="45"/>
      <c r="C23" s="45"/>
      <c r="D23" s="45"/>
      <c r="E23" s="45"/>
      <c r="H23" s="42"/>
      <c r="I23" s="42"/>
      <c r="J23" s="42"/>
      <c r="K23" s="42"/>
      <c r="L23" s="42"/>
      <c r="M23" s="42"/>
    </row>
    <row r="24" spans="1:13">
      <c r="H24" s="42"/>
      <c r="I24" s="42"/>
      <c r="J24" s="42"/>
      <c r="K24" s="42"/>
      <c r="L24" s="42"/>
      <c r="M24" s="42"/>
    </row>
    <row r="25" spans="1:13">
      <c r="H25" s="42"/>
      <c r="I25" s="42"/>
      <c r="J25" s="42"/>
      <c r="K25" s="42"/>
      <c r="L25" s="42"/>
      <c r="M25" s="42"/>
    </row>
    <row r="26" spans="1:13">
      <c r="H26" s="42"/>
      <c r="I26" s="42"/>
      <c r="J26" s="42"/>
      <c r="K26" s="42"/>
      <c r="L26" s="42"/>
      <c r="M26" s="42"/>
    </row>
    <row r="27" spans="1:13" ht="18">
      <c r="A27" s="35" t="s">
        <v>97</v>
      </c>
      <c r="B27" s="35"/>
      <c r="C27" s="35"/>
      <c r="D27" s="36"/>
      <c r="E27" s="36"/>
      <c r="H27" s="42"/>
      <c r="I27" s="42"/>
      <c r="J27" s="42"/>
      <c r="K27" s="42"/>
      <c r="L27" s="42"/>
      <c r="M27" s="42"/>
    </row>
    <row r="28" spans="1:13">
      <c r="A28" s="10" t="s">
        <v>98</v>
      </c>
      <c r="B28" s="3" t="s">
        <v>147</v>
      </c>
      <c r="C28" s="10" t="s">
        <v>143</v>
      </c>
      <c r="D28" s="10" t="s">
        <v>73</v>
      </c>
      <c r="E28" s="10" t="s">
        <v>99</v>
      </c>
      <c r="H28" s="42"/>
      <c r="I28" s="42"/>
      <c r="J28" s="42"/>
      <c r="K28" s="42"/>
      <c r="L28" s="42"/>
      <c r="M28" s="42"/>
    </row>
    <row r="29" spans="1:13" ht="25.95" customHeight="1">
      <c r="A29" s="5">
        <f>B29</f>
        <v>3</v>
      </c>
      <c r="B29" s="5">
        <v>3</v>
      </c>
      <c r="C29" s="12" t="s">
        <v>100</v>
      </c>
      <c r="D29" s="12" t="s">
        <v>101</v>
      </c>
      <c r="E29" s="8" t="s">
        <v>144</v>
      </c>
      <c r="H29" s="42"/>
      <c r="I29" s="42"/>
      <c r="J29" s="42"/>
      <c r="K29" s="42"/>
      <c r="L29" s="42"/>
      <c r="M29" s="42"/>
    </row>
    <row r="30" spans="1:13" ht="25.95" customHeight="1">
      <c r="A30" s="5">
        <f t="shared" ref="A30:A31" si="0">B30</f>
        <v>2</v>
      </c>
      <c r="B30" s="5">
        <v>2</v>
      </c>
      <c r="C30" s="12" t="s">
        <v>102</v>
      </c>
      <c r="D30" s="12" t="s">
        <v>103</v>
      </c>
      <c r="E30" s="8" t="s">
        <v>145</v>
      </c>
      <c r="H30" s="42"/>
      <c r="I30" s="42"/>
      <c r="J30" s="42"/>
      <c r="K30" s="42"/>
      <c r="L30" s="42"/>
      <c r="M30" s="42"/>
    </row>
    <row r="31" spans="1:13" ht="25.95" customHeight="1">
      <c r="A31" s="5">
        <f t="shared" si="0"/>
        <v>1</v>
      </c>
      <c r="B31" s="5">
        <v>1</v>
      </c>
      <c r="C31" s="12" t="s">
        <v>104</v>
      </c>
      <c r="D31" s="12" t="s">
        <v>105</v>
      </c>
      <c r="E31" s="8" t="s">
        <v>146</v>
      </c>
      <c r="H31" s="43"/>
      <c r="I31" s="43"/>
      <c r="J31" s="43"/>
      <c r="K31" s="43"/>
      <c r="L31" s="43"/>
      <c r="M31" s="43"/>
    </row>
    <row r="32" spans="1:13">
      <c r="A32" s="39" t="s">
        <v>108</v>
      </c>
      <c r="B32" s="40"/>
      <c r="C32" s="40"/>
      <c r="D32" s="40"/>
      <c r="E32" s="40"/>
    </row>
    <row r="33" spans="1:5">
      <c r="A33" s="34"/>
      <c r="B33" s="34"/>
      <c r="C33" s="34"/>
      <c r="D33" s="34"/>
      <c r="E33" s="34"/>
    </row>
    <row r="34" spans="1:5">
      <c r="A34" s="34"/>
      <c r="B34" s="34"/>
      <c r="C34" s="34"/>
      <c r="D34" s="34"/>
      <c r="E34" s="34"/>
    </row>
    <row r="36" spans="1:5" ht="50.4" customHeight="1"/>
    <row r="37" spans="1:5" ht="39.6" customHeight="1"/>
  </sheetData>
  <sheetProtection algorithmName="SHA-512" hashValue="zeUlY6WAKfvU87S4KV/oPPgftRL3eA1KLwyFFdJmK0wqkO8tccAsSZ60LyrDRq8Y7M65/T2HgbzH7Js1Ft7iqA==" saltValue="OzPx/zjnq8W6ppRbYLdxsw==" spinCount="100000" sheet="1" objects="1" scenarios="1" selectLockedCells="1" selectUnlockedCells="1"/>
  <mergeCells count="9">
    <mergeCell ref="A1:F1"/>
    <mergeCell ref="H9:J9"/>
    <mergeCell ref="L9:N9"/>
    <mergeCell ref="A32:E32"/>
    <mergeCell ref="H20:M31"/>
    <mergeCell ref="A23:E23"/>
    <mergeCell ref="A19:E19"/>
    <mergeCell ref="A27:E27"/>
    <mergeCell ref="A9:F9"/>
  </mergeCells>
  <conditionalFormatting sqref="A2:A5 A8 H20:H29 A47:A72 A83:A1048576">
    <cfRule type="cellIs" dxfId="6" priority="10" operator="equal">
      <formula>"Low"</formula>
    </cfRule>
    <cfRule type="cellIs" dxfId="5" priority="11" operator="equal">
      <formula>"Medium"</formula>
    </cfRule>
    <cfRule type="cellIs" dxfId="4" priority="12" operator="equal">
      <formula>"High"</formula>
    </cfRule>
  </conditionalFormatting>
  <conditionalFormatting sqref="A29:A31">
    <cfRule type="iconSet" priority="2">
      <iconSet iconSet="3TrafficLights2" showValue="0" reverse="1">
        <cfvo type="percent" val="0"/>
        <cfvo type="num" val="2"/>
        <cfvo type="num" val="3"/>
      </iconSet>
    </cfRule>
  </conditionalFormatting>
  <conditionalFormatting sqref="B21:B22">
    <cfRule type="cellIs" dxfId="3" priority="6" operator="equal">
      <formula>"Exceeds Appetite"</formula>
    </cfRule>
    <cfRule type="cellIs" dxfId="2" priority="7" operator="equal">
      <formula>"Within Appetite"</formula>
    </cfRule>
  </conditionalFormatting>
  <conditionalFormatting sqref="B11:F15">
    <cfRule type="colorScale" priority="9">
      <colorScale>
        <cfvo type="min"/>
        <cfvo type="percentile" val="50"/>
        <cfvo type="max"/>
        <color rgb="FF1B5E20"/>
        <color rgb="FF8A6D00"/>
        <color rgb="FFB00020"/>
      </colorScale>
    </cfRule>
  </conditionalFormatting>
  <conditionalFormatting sqref="C21:D22">
    <cfRule type="cellIs" dxfId="1" priority="3" operator="equal">
      <formula>"No"</formula>
    </cfRule>
    <cfRule type="cellIs" dxfId="0" priority="4" operator="equal">
      <formula>"Yes"</formula>
    </cfRule>
  </conditionalFormatting>
  <conditionalFormatting sqref="F2:F5">
    <cfRule type="iconSet" priority="1">
      <iconSet iconSet="3TrafficLights2" showValue="0" reverse="1">
        <cfvo type="percent" val="0"/>
        <cfvo type="num" val="2"/>
        <cfvo type="num" val="3"/>
      </iconSet>
    </cfRule>
  </conditionalFormatting>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Legend &amp; 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Bethea</dc:creator>
  <cp:lastModifiedBy>Ariel Bethea</cp:lastModifiedBy>
  <dcterms:created xsi:type="dcterms:W3CDTF">2025-12-31T00:42:30Z</dcterms:created>
  <dcterms:modified xsi:type="dcterms:W3CDTF">2026-01-13T14:27:45Z</dcterms:modified>
</cp:coreProperties>
</file>